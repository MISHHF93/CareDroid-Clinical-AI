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a2e3c6cdc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3a29799befe44d9"/>
    <x:sheet xmlns:r="http://schemas.openxmlformats.org/officeDocument/2006/relationships" name="Master Feature Matrix" sheetId="2" r:id="R773c4c229931460a"/>
    <x:sheet xmlns:r="http://schemas.openxmlformats.org/officeDocument/2006/relationships" name="Roadmap" sheetId="3" r:id="Rc901b785d99d450c"/>
    <x:sheet xmlns:r="http://schemas.openxmlformats.org/officeDocument/2006/relationships" name="Integrations" sheetId="4" r:id="Rfc83bfb6298c4f44"/>
    <x:sheet xmlns:r="http://schemas.openxmlformats.org/officeDocument/2006/relationships" name="Research &amp; Validation" sheetId="5" r:id="R65c0d5f467d94b3b"/>
    <x:sheet xmlns:r="http://schemas.openxmlformats.org/officeDocument/2006/relationships" name="Risks &amp; Governance" sheetId="6" r:id="Re9e249a6c0884efa"/>
    <x:sheet xmlns:r="http://schemas.openxmlformats.org/officeDocument/2006/relationships" name="Opportunities" sheetId="7" r:id="R1deef90fba504c29"/>
    <x:sheet xmlns:r="http://schemas.openxmlformats.org/officeDocument/2006/relationships" name="Dashboard" sheetId="8" r:id="R52eccbbabdd445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45B85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a54578f8a541ee" /><Relationship Type="http://schemas.openxmlformats.org/officeDocument/2006/relationships/theme" Target="/xl/theme/theme1.xml" Id="R48286c620b1f40bf" /><Relationship Type="http://schemas.openxmlformats.org/officeDocument/2006/relationships/sharedStrings" Target="/xl/sharedStrings.xml" Id="R21d4c9ee6f9646bf" /><Relationship Type="http://schemas.openxmlformats.org/officeDocument/2006/relationships/worksheet" Target="/xl/worksheets/sheet1.xml" Id="Rf3a29799befe44d9" /><Relationship Type="http://schemas.openxmlformats.org/officeDocument/2006/relationships/worksheet" Target="/xl/worksheets/sheet2.xml" Id="R773c4c229931460a" /><Relationship Type="http://schemas.openxmlformats.org/officeDocument/2006/relationships/worksheet" Target="/xl/worksheets/sheet3.xml" Id="Rc901b785d99d450c" /><Relationship Type="http://schemas.openxmlformats.org/officeDocument/2006/relationships/worksheet" Target="/xl/worksheets/sheet4.xml" Id="Rfc83bfb6298c4f44" /><Relationship Type="http://schemas.openxmlformats.org/officeDocument/2006/relationships/worksheet" Target="/xl/worksheets/sheet5.xml" Id="R65c0d5f467d94b3b" /><Relationship Type="http://schemas.openxmlformats.org/officeDocument/2006/relationships/worksheet" Target="/xl/worksheets/sheet6.xml" Id="Re9e249a6c0884efa" /><Relationship Type="http://schemas.openxmlformats.org/officeDocument/2006/relationships/worksheet" Target="/xl/worksheets/sheet7.xml" Id="R1deef90fba504c29" /><Relationship Type="http://schemas.openxmlformats.org/officeDocument/2006/relationships/worksheet" Target="/xl/worksheets/sheet8.xml" Id="R52eccbbabdd445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0bf3a818e844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Features by Selected Domain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'Dashboard'!$D$4:$D$10</c:f>
              <c:strCache>
                <c:ptCount val="0"/>
              </c:strCache>
            </c:strRef>
          </c:cat>
          <c:val>
            <c:numRef>
              <c:f>'Dashboard'!$E$4:$E$10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11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0bf3a818e8444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eatureMatrixTable" displayName="FeatureMatrixTable" ref="A1:T26" headerRowCount="1" totalsRowCount="0" totalsRowShown="0">
  <x:tableColumns count="20">
    <x:tableColumn id="1" name="ID"/>
    <x:tableColumn id="2" name="Domain"/>
    <x:tableColumn id="3" name="Feature"/>
    <x:tableColumn id="4" name="Description"/>
    <x:tableColumn id="5" name="Users"/>
    <x:tableColumn id="6" name="Use Cases"/>
    <x:tableColumn id="7" name="Maturity"/>
    <x:tableColumn id="8" name="Priority"/>
    <x:tableColumn id="9" name="Phase"/>
    <x:tableColumn id="10" name="Status"/>
    <x:tableColumn id="11" name="Dependencies"/>
    <x:tableColumn id="12" name="Standards"/>
    <x:tableColumn id="13" name="AI / Data"/>
    <x:tableColumn id="14" name="Edge / Offline"/>
    <x:tableColumn id="15" name="IoT / Robotics"/>
    <x:tableColumn id="16" name="Governance / Safety"/>
    <x:tableColumn id="17" name="Validation"/>
    <x:tableColumn id="18" name="Owner"/>
    <x:tableColumn id="19" name="Target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admapTable" displayName="RoadmapTable" ref="A1:H11" headerRowCount="1" totalsRowCount="0" totalsRowShown="0">
  <x:tableColumns count="8">
    <x:tableColumn id="1" name="Workstream"/>
    <x:tableColumn id="2" name="2026-Q4"/>
    <x:tableColumn id="3" name="2027-Q1"/>
    <x:tableColumn id="4" name="2027-Q2"/>
    <x:tableColumn id="5" name="2027-Q3"/>
    <x:tableColumn id="6" name="2027-Q4"/>
    <x:tableColumn id="7" name="Success Measure"/>
    <x:tableColumn id="8" name="Dependenc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grationsTable" displayName="IntegrationsTable" ref="A1:L9" headerRowCount="1" totalsRowCount="0" totalsRowShown="0">
  <x:tableColumns count="12">
    <x:tableColumn id="1" name="Category"/>
    <x:tableColumn id="2" name="System / Device"/>
    <x:tableColumn id="3" name="Pattern"/>
    <x:tableColumn id="4" name="Protocols / Standards"/>
    <x:tableColumn id="5" name="Data In"/>
    <x:tableColumn id="6" name="Data Out"/>
    <x:tableColumn id="7" name="Offline?"/>
    <x:tableColumn id="8" name="Safety / Governance"/>
    <x:tableColumn id="9" name="Priority"/>
    <x:tableColumn id="10" name="Status"/>
    <x:tableColumn id="11" name="Partner"/>
    <x:tableColumn id="1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Table" displayName="ValidationTable" ref="A1:I6" headerRowCount="1" totalsRowCount="0" totalsRowShown="0">
  <x:tableColumns count="9">
    <x:tableColumn id="1" name="Initiative"/>
    <x:tableColumn id="2" name="Organization / Program"/>
    <x:tableColumn id="3" name="Type"/>
    <x:tableColumn id="4" name="Scope"/>
    <x:tableColumn id="5" name="Status"/>
    <x:tableColumn id="6" name="Evidence / Deliverable"/>
    <x:tableColumn id="7" name="Claim-Safe Language"/>
    <x:tableColumn id="8" name="Next Action"/>
    <x:tableColumn id="9" name="Source / Refer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iskTable" displayName="RiskTable" ref="A1:I9" headerRowCount="1" totalsRowCount="0" totalsRowShown="0">
  <x:tableColumns count="9">
    <x:tableColumn id="1" name="ID"/>
    <x:tableColumn id="2" name="Area"/>
    <x:tableColumn id="3" name="Risk"/>
    <x:tableColumn id="4" name="Likelihood"/>
    <x:tableColumn id="5" name="Impact"/>
    <x:tableColumn id="6" name="Mitigation / Control"/>
    <x:tableColumn id="7" name="Owner"/>
    <x:tableColumn id="8" name="Status"/>
    <x:tableColumn id="9" name="Evidence Nee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pportunitiesTable" displayName="OpportunitiesTable" ref="A1:H5" headerRowCount="1" totalsRowCount="0" totalsRowShown="0">
  <x:tableColumns count="8">
    <x:tableColumn id="1" name="Opportunity"/>
    <x:tableColumn id="2" name="Type"/>
    <x:tableColumn id="3" name="Strategic Fit"/>
    <x:tableColumn id="4" name="CareDroid Angle"/>
    <x:tableColumn id="5" name="Stage"/>
    <x:tableColumn id="6" name="Timing"/>
    <x:tableColumn id="7" name="Next Step"/>
    <x:tableColumn id="8" name="Evidence /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4c22c00ed34e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e3ff67772840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c380cff6d54d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05e8a9ac7d45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55c15881e14c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51ea991ea644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bbe2195611874f7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3" t="str">
        <x:v>CareDroid — Master Product Feature Matrix &amp; Planning Workbook</x:v>
      </x:c>
      <x:c r="B1" s="3"/>
      <x:c r="C1" s="3"/>
      <x:c r="D1" s="3"/>
      <x:c r="E1" s="3"/>
      <x:c r="F1" s="3"/>
      <x:c r="G1" s="3"/>
      <x:c r="H1" s="3"/>
    </x:row>
    <x:row r="3">
      <x:c r="A3" s="8" t="str">
        <x:v>Purpose</x:v>
      </x:c>
      <x:c r="B3" s="12" t="str">
        <x:v>Single source of truth for product scope, architecture, roadmap, integrations, research, pilots and commercialization.</x:v>
      </x:c>
    </x:row>
    <x:row r="4">
      <x:c r="A4" s="8" t="str">
        <x:v>Positioning</x:v>
      </x:c>
      <x:c r="B4" s="12" t="str">
        <x:v>AI-powered Medical Intelligence &amp; Healthcare Operations Platform connecting clinical workflows, intelligent agents, knowledge intelligence, IoT, edge AI, digital twins, robotics/autonomous-system integrations and real-time operational intelligence.</x:v>
      </x:c>
    </x:row>
    <x:row r="5">
      <x:c r="A5" s="8" t="str">
        <x:v>Healthcare Core</x:v>
      </x:c>
      <x:c r="B5" s="12" t="str">
        <x:v>Emergency-department operations, patient engagement/navigation, workflow automation, decision support, knowledge intelligence and hospital operational analytics.</x:v>
      </x:c>
    </x:row>
    <x:row r="6">
      <x:c r="A6" s="8" t="str">
        <x:v>Expansion</x:v>
      </x:c>
      <x:c r="B6" s="12" t="str">
        <x:v>Vendor-neutral IoT, connected medical devices, edge/offline AI, digital twins, robotics, autonomous-system integrations, emergency response, medical logistics and humanitarian operations.</x:v>
      </x:c>
    </x:row>
    <x:row r="7">
      <x:c r="A7" s="8" t="str">
        <x:v>Safety Boundary</x:v>
      </x:c>
      <x:c r="B7" s="12" t="str">
        <x:v>Medical, logistics, humanitarian, emergency-response, training, simulation and decision-support only; no weapon targeting, autonomous engagement or lethal decision-making.</x:v>
      </x:c>
    </x:row>
    <x:row r="8">
      <x:c r="A8" s="8" t="str">
        <x:v>Academic Work</x:v>
      </x:c>
      <x:c r="B8" s="12" t="str">
        <x:v>Riipen experiential learning; London Metropolitan University student business/commercialization evaluation; ongoing multidisciplinary Arizona State University PhD technical-architecture collaboration; healthcare workflow discovery involving professionals/stakeholders associated with Humber River Health, Sinai Health and UHN.</x:v>
      </x:c>
    </x:row>
    <x:row r="9">
      <x:c r="A9" s="8" t="str">
        <x:v>Planning Use</x:v>
      </x:c>
      <x:c r="B9" s="12" t="str">
        <x:v>Review weekly. Track evidence separately from aspirations; move capabilities through Concept → Research → Design → Prototype → MVP → Pilot → Production.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8" hidden="0" customWidth="1"/>
    <x:col min="4" max="4" width="48" hidden="0" customWidth="1"/>
    <x:col min="5" max="5" width="22" hidden="0" customWidth="1"/>
    <x:col min="6" max="6" width="28" hidden="0" customWidth="1"/>
    <x:col min="7" max="7" width="14" hidden="0" customWidth="1"/>
    <x:col min="8" max="8" width="10" hidden="0" customWidth="1"/>
    <x:col min="9" max="9" width="12" hidden="0" customWidth="1"/>
    <x:col min="10" max="10" width="14" hidden="0" customWidth="1"/>
    <x:col min="11" max="11" width="28" hidden="0" customWidth="1"/>
    <x:col min="12" max="12" width="26" hidden="0" customWidth="1"/>
    <x:col min="13" max="13" width="28" hidden="0" customWidth="1"/>
    <x:col min="14" max="14" width="14" hidden="0" customWidth="1"/>
    <x:col min="15" max="15" width="16" hidden="0" customWidth="1"/>
    <x:col min="16" max="16" width="32" hidden="0" customWidth="1"/>
    <x:col min="17" max="17" width="24" hidden="0" customWidth="1"/>
    <x:col min="18" max="18" width="16" hidden="0" customWidth="1"/>
    <x:col min="19" max="19" width="14" hidden="0" customWidth="1"/>
    <x:col min="20" max="20" width="32" hidden="0" customWidth="1"/>
  </x:cols>
  <x:sheetData>
    <x:row r="1">
      <x:c r="A1" s="16" t="str">
        <x:v>ID</x:v>
      </x:c>
      <x:c r="B1" s="16" t="str">
        <x:v>Domain</x:v>
      </x:c>
      <x:c r="C1" s="16" t="str">
        <x:v>Feature</x:v>
      </x:c>
      <x:c r="D1" s="16" t="str">
        <x:v>Description</x:v>
      </x:c>
      <x:c r="E1" s="16" t="str">
        <x:v>Users</x:v>
      </x:c>
      <x:c r="F1" s="16" t="str">
        <x:v>Use Cases</x:v>
      </x:c>
      <x:c r="G1" s="16" t="str">
        <x:v>Maturity</x:v>
      </x:c>
      <x:c r="H1" s="16" t="str">
        <x:v>Priority</x:v>
      </x:c>
      <x:c r="I1" s="16" t="str">
        <x:v>Phase</x:v>
      </x:c>
      <x:c r="J1" s="16" t="str">
        <x:v>Status</x:v>
      </x:c>
      <x:c r="K1" s="16" t="str">
        <x:v>Dependencies</x:v>
      </x:c>
      <x:c r="L1" s="16" t="str">
        <x:v>Standards</x:v>
      </x:c>
      <x:c r="M1" s="16" t="str">
        <x:v>AI / Data</x:v>
      </x:c>
      <x:c r="N1" s="16" t="str">
        <x:v>Edge / Offline</x:v>
      </x:c>
      <x:c r="O1" s="16" t="str">
        <x:v>IoT / Robotics</x:v>
      </x:c>
      <x:c r="P1" s="16" t="str">
        <x:v>Governance / Safety</x:v>
      </x:c>
      <x:c r="Q1" s="16" t="str">
        <x:v>Validation</x:v>
      </x:c>
      <x:c r="R1" s="16" t="str">
        <x:v>Owner</x:v>
      </x:c>
      <x:c r="S1" s="16" t="str">
        <x:v>Target</x:v>
      </x:c>
      <x:c r="T1" s="16" t="str">
        <x:v>Notes</x:v>
      </x:c>
    </x:row>
    <x:row r="2">
      <x:c r="A2" s="12" t="str">
        <x:v>CD-001</x:v>
      </x:c>
      <x:c r="B2" s="12" t="str">
        <x:v>Clinical Operations</x:v>
      </x:c>
      <x:c r="C2" s="12" t="str">
        <x:v>Emergency Department Operations</x:v>
      </x:c>
      <x:c r="D2" s="12" t="str">
        <x:v>Patient flow, handoffs, workflow and operational decision support.</x:v>
      </x:c>
      <x:c r="E2" s="12" t="str">
        <x:v>Clinicians; Ops</x:v>
      </x:c>
      <x:c r="F2" s="12" t="str">
        <x:v>ED operations</x:v>
      </x:c>
      <x:c r="G2" s="12" t="str">
        <x:v>MVP</x:v>
      </x:c>
      <x:c r="H2" s="12" t="str">
        <x:v>P0</x:v>
      </x:c>
      <x:c r="I2" s="12" t="str">
        <x:v>Phase 1</x:v>
      </x:c>
      <x:c r="J2" s="12" t="str">
        <x:v>In Progress</x:v>
      </x:c>
      <x:c r="K2" s="12" t="str">
        <x:v>Workflow; EHR</x:v>
      </x:c>
      <x:c r="L2" s="12" t="str">
        <x:v>HL7 FHIR</x:v>
      </x:c>
      <x:c r="M2" s="12" t="str">
        <x:v>LLM; analytics</x:v>
      </x:c>
      <x:c r="N2" s="12" t="str">
        <x:v>Optional</x:v>
      </x:c>
      <x:c r="O2" s="12" t="str">
        <x:v>No</x:v>
      </x:c>
      <x:c r="P2" s="12" t="str">
        <x:v>Human oversight; audit</x:v>
      </x:c>
      <x:c r="Q2" s="12" t="str">
        <x:v>Pilot validation</x:v>
      </x:c>
      <x:c r="R2" s="12" t="str">
        <x:v>Founder</x:v>
      </x:c>
      <x:c r="S2" s="12" t="str">
        <x:v>2026-Q4</x:v>
      </x:c>
      <x:c r="T2" s="12" t="str">
        <x:v>Healthcare core</x:v>
      </x:c>
    </x:row>
    <x:row r="3">
      <x:c r="A3" s="12" t="str">
        <x:v>CD-002</x:v>
      </x:c>
      <x:c r="B3" s="12" t="str">
        <x:v>Patient Experience</x:v>
      </x:c>
      <x:c r="C3" s="12" t="str">
        <x:v>Patient Engagement &amp; Navigation</x:v>
      </x:c>
      <x:c r="D3" s="12" t="str">
        <x:v>AI-assisted navigation, education, communications and accessibility.</x:v>
      </x:c>
      <x:c r="E3" s="12" t="str">
        <x:v>Patients; Staff</x:v>
      </x:c>
      <x:c r="F3" s="12" t="str">
        <x:v>Navigation; engagement</x:v>
      </x:c>
      <x:c r="G3" s="12" t="str">
        <x:v>MVP</x:v>
      </x:c>
      <x:c r="H3" s="12" t="str">
        <x:v>P0</x:v>
      </x:c>
      <x:c r="I3" s="12" t="str">
        <x:v>Phase 1</x:v>
      </x:c>
      <x:c r="J3" s="12" t="str">
        <x:v>In Progress</x:v>
      </x:c>
      <x:c r="K3" s="12" t="str">
        <x:v>Knowledge; conversational AI</x:v>
      </x:c>
      <x:c r="L3" s="12" t="str">
        <x:v>FHIR where applicable</x:v>
      </x:c>
      <x:c r="M3" s="12" t="str">
        <x:v>LLM; RAG; speech</x:v>
      </x:c>
      <x:c r="N3" s="12" t="str">
        <x:v>Mobile</x:v>
      </x:c>
      <x:c r="O3" s="12" t="str">
        <x:v>Wearables optional</x:v>
      </x:c>
      <x:c r="P3" s="12" t="str">
        <x:v>Privacy; content safety</x:v>
      </x:c>
      <x:c r="Q3" s="12" t="str">
        <x:v>Usability tests</x:v>
      </x:c>
      <x:c r="R3" s="12" t="str">
        <x:v>Founder</x:v>
      </x:c>
      <x:c r="S3" s="12" t="str">
        <x:v>2026-Q4</x:v>
      </x:c>
      <x:c r="T3" s="12" t="str">
        <x:v>Multilingual roadmap</x:v>
      </x:c>
    </x:row>
    <x:row r="4">
      <x:c r="A4" s="12" t="str">
        <x:v>CD-003</x:v>
      </x:c>
      <x:c r="B4" s="12" t="str">
        <x:v>AI Platform</x:v>
      </x:c>
      <x:c r="C4" s="12" t="str">
        <x:v>Agentic AI Runtime</x:v>
      </x:c>
      <x:c r="D4" s="12" t="str">
        <x:v>Governed agents for workflow, research, operations and assistance.</x:v>
      </x:c>
      <x:c r="E4" s="12" t="str">
        <x:v>Clinical; Admin</x:v>
      </x:c>
      <x:c r="F4" s="12" t="str">
        <x:v>Automation</x:v>
      </x:c>
      <x:c r="G4" s="12" t="str">
        <x:v>Prototype</x:v>
      </x:c>
      <x:c r="H4" s="12" t="str">
        <x:v>P0</x:v>
      </x:c>
      <x:c r="I4" s="12" t="str">
        <x:v>Phase 1</x:v>
      </x:c>
      <x:c r="J4" s="12" t="str">
        <x:v>In Progress</x:v>
      </x:c>
      <x:c r="K4" s="12" t="str">
        <x:v>Model gateway; policy</x:v>
      </x:c>
      <x:c r="L4" s="12" t="str">
        <x:v>REST; gRPC</x:v>
      </x:c>
      <x:c r="M4" s="12" t="str">
        <x:v>LLMs; tools; RAG</x:v>
      </x:c>
      <x:c r="N4" s="12" t="str">
        <x:v>Yes</x:v>
      </x:c>
      <x:c r="O4" s="12" t="str">
        <x:v>Indirect</x:v>
      </x:c>
      <x:c r="P4" s="12" t="str">
        <x:v>Approval gates; logs</x:v>
      </x:c>
      <x:c r="Q4" s="12" t="str">
        <x:v>Evaluation suite</x:v>
      </x:c>
      <x:c r="R4" s="12" t="str">
        <x:v>Founder</x:v>
      </x:c>
      <x:c r="S4" s="12" t="str">
        <x:v>2026-Q4</x:v>
      </x:c>
      <x:c r="T4" s="12" t="str">
        <x:v>Provider-neutral</x:v>
      </x:c>
    </x:row>
    <x:row r="5">
      <x:c r="A5" s="12" t="str">
        <x:v>CD-004</x:v>
      </x:c>
      <x:c r="B5" s="12" t="str">
        <x:v>AI Platform</x:v>
      </x:c>
      <x:c r="C5" s="12" t="str">
        <x:v>Model Gateway &amp; Routing</x:v>
      </x:c>
      <x:c r="D5" s="12" t="str">
        <x:v>Route workloads by quality, privacy, cost, latency, hardware and policy.</x:v>
      </x:c>
      <x:c r="E5" s="12" t="str">
        <x:v>Platform Admin</x:v>
      </x:c>
      <x:c r="F5" s="12" t="str">
        <x:v>Hybrid AI</x:v>
      </x:c>
      <x:c r="G5" s="12" t="str">
        <x:v>Design</x:v>
      </x:c>
      <x:c r="H5" s="12" t="str">
        <x:v>P0</x:v>
      </x:c>
      <x:c r="I5" s="12" t="str">
        <x:v>Phase 2</x:v>
      </x:c>
      <x:c r="J5" s="12" t="str">
        <x:v>Planned</x:v>
      </x:c>
      <x:c r="K5" s="12" t="str">
        <x:v>Profiler; policy</x:v>
      </x:c>
      <x:c r="L5" s="12" t="str">
        <x:v>REST; gRPC</x:v>
      </x:c>
      <x:c r="M5" s="12" t="str">
        <x:v>Routing; evals</x:v>
      </x:c>
      <x:c r="N5" s="12" t="str">
        <x:v>Yes</x:v>
      </x:c>
      <x:c r="O5" s="12" t="str">
        <x:v>Indirect</x:v>
      </x:c>
      <x:c r="P5" s="12" t="str">
        <x:v>Model governance</x:v>
      </x:c>
      <x:c r="Q5" s="12" t="str">
        <x:v>Benchmarks</x:v>
      </x:c>
      <x:c r="R5" s="12" t="str">
        <x:v>Founder</x:v>
      </x:c>
      <x:c r="S5" s="12" t="str">
        <x:v>2027-Q1</x:v>
      </x:c>
      <x:c r="T5" s="12" t="str">
        <x:v>Cloud/private/edge</x:v>
      </x:c>
    </x:row>
    <x:row r="6">
      <x:c r="A6" s="12" t="str">
        <x:v>CD-005</x:v>
      </x:c>
      <x:c r="B6" s="12" t="str">
        <x:v>Knowledge Intelligence</x:v>
      </x:c>
      <x:c r="C6" s="12" t="str">
        <x:v>Healthcare Knowledge Graph</x:v>
      </x:c>
      <x:c r="D6" s="12" t="str">
        <x:v>Unify patients, workflows, documents, devices, events and evidence.</x:v>
      </x:c>
      <x:c r="E6" s="12" t="str">
        <x:v>Clinical; Analysts</x:v>
      </x:c>
      <x:c r="F6" s="12" t="str">
        <x:v>Context; traceability</x:v>
      </x:c>
      <x:c r="G6" s="12" t="str">
        <x:v>Prototype</x:v>
      </x:c>
      <x:c r="H6" s="12" t="str">
        <x:v>P0</x:v>
      </x:c>
      <x:c r="I6" s="12" t="str">
        <x:v>Phase 1</x:v>
      </x:c>
      <x:c r="J6" s="12" t="str">
        <x:v>In Progress</x:v>
      </x:c>
      <x:c r="K6" s="12" t="str">
        <x:v>Data model; ingestion</x:v>
      </x:c>
      <x:c r="L6" s="12" t="str">
        <x:v>FHIR; APIs</x:v>
      </x:c>
      <x:c r="M6" s="12" t="str">
        <x:v>Graph; embeddings; RAG</x:v>
      </x:c>
      <x:c r="N6" s="12" t="str">
        <x:v>Partial</x:v>
      </x:c>
      <x:c r="O6" s="12" t="str">
        <x:v>Yes</x:v>
      </x:c>
      <x:c r="P6" s="12" t="str">
        <x:v>Provenance; access</x:v>
      </x:c>
      <x:c r="Q6" s="12" t="str">
        <x:v>Architecture validation</x:v>
      </x:c>
      <x:c r="R6" s="12" t="str">
        <x:v>Founder</x:v>
      </x:c>
      <x:c r="S6" s="12" t="str">
        <x:v>2026-Q4</x:v>
      </x:c>
      <x:c r="T6" s="12" t="str">
        <x:v>Core intelligence</x:v>
      </x:c>
    </x:row>
    <x:row r="7">
      <x:c r="A7" s="12" t="str">
        <x:v>CD-006</x:v>
      </x:c>
      <x:c r="B7" s="12" t="str">
        <x:v>Knowledge Intelligence</x:v>
      </x:c>
      <x:c r="C7" s="12" t="str">
        <x:v>Document Intelligence</x:v>
      </x:c>
      <x:c r="D7" s="12" t="str">
        <x:v>OCR, extraction, classification, summarization, provenance and workflow triggers.</x:v>
      </x:c>
      <x:c r="E7" s="12" t="str">
        <x:v>Clinical; Admin</x:v>
      </x:c>
      <x:c r="F7" s="12" t="str">
        <x:v>Forms; reports</x:v>
      </x:c>
      <x:c r="G7" s="12" t="str">
        <x:v>Prototype</x:v>
      </x:c>
      <x:c r="H7" s="12" t="str">
        <x:v>P1</x:v>
      </x:c>
      <x:c r="I7" s="12" t="str">
        <x:v>Phase 1</x:v>
      </x:c>
      <x:c r="J7" s="12" t="str">
        <x:v>In Progress</x:v>
      </x:c>
      <x:c r="K7" s="12" t="str">
        <x:v>OCR; storage</x:v>
      </x:c>
      <x:c r="L7" s="12" t="str">
        <x:v>PDF; image; FHIR docs</x:v>
      </x:c>
      <x:c r="M7" s="12" t="str">
        <x:v>OCR; vision; LLM</x:v>
      </x:c>
      <x:c r="N7" s="12" t="str">
        <x:v>Yes</x:v>
      </x:c>
      <x:c r="O7" s="12" t="str">
        <x:v>Camera/scanner</x:v>
      </x:c>
      <x:c r="P7" s="12" t="str">
        <x:v>PHI controls; review</x:v>
      </x:c>
      <x:c r="Q7" s="12" t="str">
        <x:v>Human review</x:v>
      </x:c>
      <x:c r="R7" s="12" t="str">
        <x:v>Founder</x:v>
      </x:c>
      <x:c r="S7" s="12" t="str">
        <x:v>2026-Q4</x:v>
      </x:c>
      <x:c r="T7" s="12" t="str">
        <x:v>Multimodal</x:v>
      </x:c>
    </x:row>
    <x:row r="8">
      <x:c r="A8" s="12" t="str">
        <x:v>CD-007</x:v>
      </x:c>
      <x:c r="B8" s="12" t="str">
        <x:v>Interoperability</x:v>
      </x:c>
      <x:c r="C8" s="12" t="str">
        <x:v>Healthcare Integration Hub</x:v>
      </x:c>
      <x:c r="D8" s="12" t="str">
        <x:v>Vendor-neutral EHR, lab, imaging, pharmacy and enterprise integration.</x:v>
      </x:c>
      <x:c r="E8" s="12" t="str">
        <x:v>IT; Clinical</x:v>
      </x:c>
      <x:c r="F8" s="12" t="str">
        <x:v>Data exchange</x:v>
      </x:c>
      <x:c r="G8" s="12" t="str">
        <x:v>Design</x:v>
      </x:c>
      <x:c r="H8" s="12" t="str">
        <x:v>P0</x:v>
      </x:c>
      <x:c r="I8" s="12" t="str">
        <x:v>Phase 2</x:v>
      </x:c>
      <x:c r="J8" s="12" t="str">
        <x:v>Planned</x:v>
      </x:c>
      <x:c r="K8" s="12" t="str">
        <x:v>API gateway; IAM</x:v>
      </x:c>
      <x:c r="L8" s="12" t="str">
        <x:v>HL7 FHIR; DICOM; REST</x:v>
      </x:c>
      <x:c r="M8" s="12" t="str">
        <x:v>Mapping</x:v>
      </x:c>
      <x:c r="N8" s="12" t="str">
        <x:v>Partial</x:v>
      </x:c>
      <x:c r="O8" s="12" t="str">
        <x:v>Yes</x:v>
      </x:c>
      <x:c r="P8" s="12" t="str">
        <x:v>Consent; audit</x:v>
      </x:c>
      <x:c r="Q8" s="12" t="str">
        <x:v>Conformance tests</x:v>
      </x:c>
      <x:c r="R8" s="12" t="str">
        <x:v>Founder</x:v>
      </x:c>
      <x:c r="S8" s="12" t="str">
        <x:v>2027-Q1</x:v>
      </x:c>
      <x:c r="T8" s="12" t="str">
        <x:v>Adapter architecture</x:v>
      </x:c>
    </x:row>
    <x:row r="9">
      <x:c r="A9" s="12" t="str">
        <x:v>CD-008</x:v>
      </x:c>
      <x:c r="B9" s="12" t="str">
        <x:v>IoT</x:v>
      </x:c>
      <x:c r="C9" s="12" t="str">
        <x:v>Universal Device Registry</x:v>
      </x:c>
      <x:c r="D9" s="12" t="str">
        <x:v>Provision, identify, monitor and govern connected medical/IoT devices.</x:v>
      </x:c>
      <x:c r="E9" s="12" t="str">
        <x:v>IT; Biomed; Ops</x:v>
      </x:c>
      <x:c r="F9" s="12" t="str">
        <x:v>Devices; assets</x:v>
      </x:c>
      <x:c r="G9" s="12" t="str">
        <x:v>Design</x:v>
      </x:c>
      <x:c r="H9" s="12" t="str">
        <x:v>P1</x:v>
      </x:c>
      <x:c r="I9" s="12" t="str">
        <x:v>Phase 2</x:v>
      </x:c>
      <x:c r="J9" s="12" t="str">
        <x:v>Planned</x:v>
      </x:c>
      <x:c r="K9" s="12" t="str">
        <x:v>Identity; telemetry</x:v>
      </x:c>
      <x:c r="L9" s="12" t="str">
        <x:v>MQTT; BLE; REST</x:v>
      </x:c>
      <x:c r="M9" s="12" t="str">
        <x:v>Telemetry analytics</x:v>
      </x:c>
      <x:c r="N9" s="12" t="str">
        <x:v>Yes</x:v>
      </x:c>
      <x:c r="O9" s="12" t="str">
        <x:v>Yes</x:v>
      </x:c>
      <x:c r="P9" s="12" t="str">
        <x:v>Device trust</x:v>
      </x:c>
      <x:c r="Q9" s="12" t="str">
        <x:v>Simulator</x:v>
      </x:c>
      <x:c r="R9" s="12" t="str">
        <x:v>Founder</x:v>
      </x:c>
      <x:c r="S9" s="12" t="str">
        <x:v>2027-Q1</x:v>
      </x:c>
      <x:c r="T9" s="12" t="str">
        <x:v>Vendor-neutral</x:v>
      </x:c>
    </x:row>
    <x:row r="10">
      <x:c r="A10" s="12" t="str">
        <x:v>CD-009</x:v>
      </x:c>
      <x:c r="B10" s="12" t="str">
        <x:v>IoT</x:v>
      </x:c>
      <x:c r="C10" s="12" t="str">
        <x:v>Telemetry &amp; Event Platform</x:v>
      </x:c>
      <x:c r="D10" s="12" t="str">
        <x:v>Sensor streams, device health, location, environment and operational events.</x:v>
      </x:c>
      <x:c r="E10" s="12" t="str">
        <x:v>Ops; AI</x:v>
      </x:c>
      <x:c r="F10" s="12" t="str">
        <x:v>Monitoring; alerts</x:v>
      </x:c>
      <x:c r="G10" s="12" t="str">
        <x:v>Design</x:v>
      </x:c>
      <x:c r="H10" s="12" t="str">
        <x:v>P1</x:v>
      </x:c>
      <x:c r="I10" s="12" t="str">
        <x:v>Phase 2</x:v>
      </x:c>
      <x:c r="J10" s="12" t="str">
        <x:v>Planned</x:v>
      </x:c>
      <x:c r="K10" s="12" t="str">
        <x:v>Event bus; storage</x:v>
      </x:c>
      <x:c r="L10" s="12" t="str">
        <x:v>MQTT; WebSocket; OPC UA</x:v>
      </x:c>
      <x:c r="M10" s="12" t="str">
        <x:v>Anomaly detection</x:v>
      </x:c>
      <x:c r="N10" s="12" t="str">
        <x:v>Yes</x:v>
      </x:c>
      <x:c r="O10" s="12" t="str">
        <x:v>Yes</x:v>
      </x:c>
      <x:c r="P10" s="12" t="str">
        <x:v>Retention; provenance</x:v>
      </x:c>
      <x:c r="Q10" s="12" t="str">
        <x:v>Load tests</x:v>
      </x:c>
      <x:c r="R10" s="12" t="str">
        <x:v>Founder</x:v>
      </x:c>
      <x:c r="S10" s="12" t="str">
        <x:v>2027-Q1</x:v>
      </x:c>
      <x:c r="T10" s="12" t="str">
        <x:v>Event-driven</x:v>
      </x:c>
    </x:row>
    <x:row r="11">
      <x:c r="A11" s="12" t="str">
        <x:v>CD-010</x:v>
      </x:c>
      <x:c r="B11" s="12" t="str">
        <x:v>Edge AI</x:v>
      </x:c>
      <x:c r="C11" s="12" t="str">
        <x:v>Hybrid Intelligence Fabric</x:v>
      </x:c>
      <x:c r="D11" s="12" t="str">
        <x:v>AI across cloud, on-prem, edge, mobile and disconnected environments.</x:v>
      </x:c>
      <x:c r="E11" s="12" t="str">
        <x:v>IT; Field</x:v>
      </x:c>
      <x:c r="F11" s="12" t="str">
        <x:v>Resilience; privacy</x:v>
      </x:c>
      <x:c r="G11" s="12" t="str">
        <x:v>Design</x:v>
      </x:c>
      <x:c r="H11" s="12" t="str">
        <x:v>P0</x:v>
      </x:c>
      <x:c r="I11" s="12" t="str">
        <x:v>Phase 2</x:v>
      </x:c>
      <x:c r="J11" s="12" t="str">
        <x:v>Planned</x:v>
      </x:c>
      <x:c r="K11" s="12" t="str">
        <x:v>Gateway; sync; profiler</x:v>
      </x:c>
      <x:c r="L11" s="12" t="str">
        <x:v>Containers; APIs</x:v>
      </x:c>
      <x:c r="M11" s="12" t="str">
        <x:v>LLM; CV; speech; RAG</x:v>
      </x:c>
      <x:c r="N11" s="12" t="str">
        <x:v>Yes</x:v>
      </x:c>
      <x:c r="O11" s="12" t="str">
        <x:v>Yes</x:v>
      </x:c>
      <x:c r="P11" s="12" t="str">
        <x:v>Policy placement</x:v>
      </x:c>
      <x:c r="Q11" s="12" t="str">
        <x:v>Benchmark lab</x:v>
      </x:c>
      <x:c r="R11" s="12" t="str">
        <x:v>Founder</x:v>
      </x:c>
      <x:c r="S11" s="12" t="str">
        <x:v>2027-Q2</x:v>
      </x:c>
      <x:c r="T11" s="12" t="str">
        <x:v>Adaptive execution</x:v>
      </x:c>
    </x:row>
    <x:row r="12">
      <x:c r="A12" s="12" t="str">
        <x:v>CD-011</x:v>
      </x:c>
      <x:c r="B12" s="12" t="str">
        <x:v>Edge AI</x:v>
      </x:c>
      <x:c r="C12" s="12" t="str">
        <x:v>Adaptive Runtime Optimization</x:v>
      </x:c>
      <x:c r="D12" s="12" t="str">
        <x:v>Benchmark quantization, compressed retrieval, adaptive precision and KV-cache optimization.</x:v>
      </x:c>
      <x:c r="E12" s="12" t="str">
        <x:v>AI Engineering</x:v>
      </x:c>
      <x:c r="F12" s="12" t="str">
        <x:v>Memory/cost reduction</x:v>
      </x:c>
      <x:c r="G12" s="12" t="str">
        <x:v>Research</x:v>
      </x:c>
      <x:c r="H12" s="12" t="str">
        <x:v>P2</x:v>
      </x:c>
      <x:c r="I12" s="12" t="str">
        <x:v>Phase 3</x:v>
      </x:c>
      <x:c r="J12" s="12" t="str">
        <x:v>Research</x:v>
      </x:c>
      <x:c r="K12" s="12" t="str">
        <x:v>Evaluation lab</x:v>
      </x:c>
      <x:c r="L12" s="12" t="str">
        <x:v>Runtime-specific</x:v>
      </x:c>
      <x:c r="M12" s="12" t="str">
        <x:v>Quantization; compression</x:v>
      </x:c>
      <x:c r="N12" s="12" t="str">
        <x:v>Yes</x:v>
      </x:c>
      <x:c r="O12" s="12" t="str">
        <x:v>Indirect</x:v>
      </x:c>
      <x:c r="P12" s="12" t="str">
        <x:v>Quality gates; rollback</x:v>
      </x:c>
      <x:c r="Q12" s="12" t="str">
        <x:v>Benchmarks</x:v>
      </x:c>
      <x:c r="R12" s="12" t="str">
        <x:v>Founder</x:v>
      </x:c>
      <x:c r="S12" s="12" t="str">
        <x:v>2027-Q2</x:v>
      </x:c>
      <x:c r="T12" s="12" t="str">
        <x:v>Only after validation</x:v>
      </x:c>
    </x:row>
    <x:row r="13">
      <x:c r="A13" s="12" t="str">
        <x:v>CD-012</x:v>
      </x:c>
      <x:c r="B13" s="12" t="str">
        <x:v>Digital Twin</x:v>
      </x:c>
      <x:c r="C13" s="12" t="str">
        <x:v>Healthcare &amp; Operations Digital Twins</x:v>
      </x:c>
      <x:c r="D13" s="12" t="str">
        <x:v>Facilities, departments, assets, devices, fleets and operational-state simulation.</x:v>
      </x:c>
      <x:c r="E13" s="12" t="str">
        <x:v>Ops; Leadership</x:v>
      </x:c>
      <x:c r="F13" s="12" t="str">
        <x:v>Capacity; readiness</x:v>
      </x:c>
      <x:c r="G13" s="12" t="str">
        <x:v>Design</x:v>
      </x:c>
      <x:c r="H13" s="12" t="str">
        <x:v>P1</x:v>
      </x:c>
      <x:c r="I13" s="12" t="str">
        <x:v>Phase 3</x:v>
      </x:c>
      <x:c r="J13" s="12" t="str">
        <x:v>Planned</x:v>
      </x:c>
      <x:c r="K13" s="12" t="str">
        <x:v>Graph; telemetry</x:v>
      </x:c>
      <x:c r="L13" s="12" t="str">
        <x:v>APIs; IoT</x:v>
      </x:c>
      <x:c r="M13" s="12" t="str">
        <x:v>Simulation; forecasting</x:v>
      </x:c>
      <x:c r="N13" s="12" t="str">
        <x:v>Partial</x:v>
      </x:c>
      <x:c r="O13" s="12" t="str">
        <x:v>Yes</x:v>
      </x:c>
      <x:c r="P13" s="12" t="str">
        <x:v>Data quality</x:v>
      </x:c>
      <x:c r="Q13" s="12" t="str">
        <x:v>Simulation validation</x:v>
      </x:c>
      <x:c r="R13" s="12" t="str">
        <x:v>Founder</x:v>
      </x:c>
      <x:c r="S13" s="12" t="str">
        <x:v>2027-Q3</x:v>
      </x:c>
      <x:c r="T13" s="12" t="str">
        <x:v>Hospital first</x:v>
      </x:c>
    </x:row>
    <x:row r="14">
      <x:c r="A14" s="12" t="str">
        <x:v>CD-013</x:v>
      </x:c>
      <x:c r="B14" s="12" t="str">
        <x:v>Robotics</x:v>
      </x:c>
      <x:c r="C14" s="12" t="str">
        <x:v>Robotics Integration Framework</x:v>
      </x:c>
      <x:c r="D14" s="12" t="str">
        <x:v>Vendor-neutral adapters for medical logistics, telepresence and response robots.</x:v>
      </x:c>
      <x:c r="E14" s="12" t="str">
        <x:v>Ops; Field</x:v>
      </x:c>
      <x:c r="F14" s="12" t="str">
        <x:v>Logistics; telepresence</x:v>
      </x:c>
      <x:c r="G14" s="12" t="str">
        <x:v>Design</x:v>
      </x:c>
      <x:c r="H14" s="12" t="str">
        <x:v>P2</x:v>
      </x:c>
      <x:c r="I14" s="12" t="str">
        <x:v>Phase 3</x:v>
      </x:c>
      <x:c r="J14" s="12" t="str">
        <x:v>Planned</x:v>
      </x:c>
      <x:c r="K14" s="12" t="str">
        <x:v>Device registry; missions</x:v>
      </x:c>
      <x:c r="L14" s="12" t="str">
        <x:v>ROS 2; DDS; REST</x:v>
      </x:c>
      <x:c r="M14" s="12" t="str">
        <x:v>Perception/orchestration</x:v>
      </x:c>
      <x:c r="N14" s="12" t="str">
        <x:v>Yes</x:v>
      </x:c>
      <x:c r="O14" s="12" t="str">
        <x:v>Yes</x:v>
      </x:c>
      <x:c r="P14" s="12" t="str">
        <x:v>Human control; geofence</x:v>
      </x:c>
      <x:c r="Q14" s="12" t="str">
        <x:v>Simulation first</x:v>
      </x:c>
      <x:c r="R14" s="12" t="str">
        <x:v>Founder</x:v>
      </x:c>
      <x:c r="S14" s="12" t="str">
        <x:v>2027-Q3</x:v>
      </x:c>
      <x:c r="T14" s="12" t="str">
        <x:v>No weapon functions</x:v>
      </x:c>
    </x:row>
    <x:row r="15">
      <x:c r="A15" s="12" t="str">
        <x:v>CD-014</x:v>
      </x:c>
      <x:c r="B15" s="12" t="str">
        <x:v>Autonomous Systems</x:v>
      </x:c>
      <x:c r="C15" s="12" t="str">
        <x:v>UAV / Drone Medical Integration</x:v>
      </x:c>
      <x:c r="D15" s="12" t="str">
        <x:v>Telemetry and mission-event integration for medical delivery, assessment, imaging and communications.</x:v>
      </x:c>
      <x:c r="E15" s="12" t="str">
        <x:v>Emergency Ops</x:v>
      </x:c>
      <x:c r="F15" s="12" t="str">
        <x:v>Medical delivery; SAR support</x:v>
      </x:c>
      <x:c r="G15" s="12" t="str">
        <x:v>Concept</x:v>
      </x:c>
      <x:c r="H15" s="12" t="str">
        <x:v>P2</x:v>
      </x:c>
      <x:c r="I15" s="12" t="str">
        <x:v>Phase 4</x:v>
      </x:c>
      <x:c r="J15" s="12" t="str">
        <x:v>Planned</x:v>
      </x:c>
      <x:c r="K15" s="12" t="str">
        <x:v>Mission engine; adapters</x:v>
      </x:c>
      <x:c r="L15" s="12" t="str">
        <x:v>Controlled MAVLink adapter; MQTT; REST</x:v>
      </x:c>
      <x:c r="M15" s="12" t="str">
        <x:v>CV; analytics</x:v>
      </x:c>
      <x:c r="N15" s="12" t="str">
        <x:v>Yes</x:v>
      </x:c>
      <x:c r="O15" s="12" t="str">
        <x:v>Yes</x:v>
      </x:c>
      <x:c r="P15" s="12" t="str">
        <x:v>No targeting; human authorization</x:v>
      </x:c>
      <x:c r="Q15" s="12" t="str">
        <x:v>Partner test</x:v>
      </x:c>
      <x:c r="R15" s="12" t="str">
        <x:v>Founder</x:v>
      </x:c>
      <x:c r="S15" s="12" t="str">
        <x:v>2027-Q4</x:v>
      </x:c>
      <x:c r="T15" s="12" t="str">
        <x:v>Software integration only</x:v>
      </x:c>
    </x:row>
    <x:row r="16">
      <x:c r="A16" s="12" t="str">
        <x:v>CD-015</x:v>
      </x:c>
      <x:c r="B16" s="12" t="str">
        <x:v>Mission Intelligence</x:v>
      </x:c>
      <x:c r="C16" s="12" t="str">
        <x:v>Mission Orchestration Engine</x:v>
      </x:c>
      <x:c r="D16" s="12" t="str">
        <x:v>Coordinate people, patients, assets, devices, vehicles, tasks, communications and evidence.</x:v>
      </x:c>
      <x:c r="E16" s="12" t="str">
        <x:v>Emergency Ops</x:v>
      </x:c>
      <x:c r="F16" s="12" t="str">
        <x:v>Disaster; evacuation; logistics</x:v>
      </x:c>
      <x:c r="G16" s="12" t="str">
        <x:v>Concept</x:v>
      </x:c>
      <x:c r="H16" s="12" t="str">
        <x:v>P1</x:v>
      </x:c>
      <x:c r="I16" s="12" t="str">
        <x:v>Phase 3</x:v>
      </x:c>
      <x:c r="J16" s="12" t="str">
        <x:v>Planned</x:v>
      </x:c>
      <x:c r="K16" s="12" t="str">
        <x:v>Workflow; graph; IoT</x:v>
      </x:c>
      <x:c r="L16" s="12" t="str">
        <x:v>Event APIs</x:v>
      </x:c>
      <x:c r="M16" s="12" t="str">
        <x:v>Agents; optimization</x:v>
      </x:c>
      <x:c r="N16" s="12" t="str">
        <x:v>Yes</x:v>
      </x:c>
      <x:c r="O16" s="12" t="str">
        <x:v>Yes</x:v>
      </x:c>
      <x:c r="P16" s="12" t="str">
        <x:v>Role-based approvals</x:v>
      </x:c>
      <x:c r="Q16" s="12" t="str">
        <x:v>Scenario exercise</x:v>
      </x:c>
      <x:c r="R16" s="12" t="str">
        <x:v>Founder</x:v>
      </x:c>
      <x:c r="S16" s="12" t="str">
        <x:v>2027-Q3</x:v>
      </x:c>
      <x:c r="T16" s="12" t="str">
        <x:v>Medical/humanitarian</x:v>
      </x:c>
    </x:row>
    <x:row r="17">
      <x:c r="A17" s="12" t="str">
        <x:v>CD-016</x:v>
      </x:c>
      <x:c r="B17" s="12" t="str">
        <x:v>Emergency Response</x:v>
      </x:c>
      <x:c r="C17" s="12" t="str">
        <x:v>Casualty &amp; Medical Coordination</x:v>
      </x:c>
      <x:c r="D17" s="12" t="str">
        <x:v>Field documentation, temporary identity, handoffs, evacuation coordination and medical logistics.</x:v>
      </x:c>
      <x:c r="E17" s="12" t="str">
        <x:v>Responders; Hospitals</x:v>
      </x:c>
      <x:c r="F17" s="12" t="str">
        <x:v>Mass casualty; remote care</x:v>
      </x:c>
      <x:c r="G17" s="12" t="str">
        <x:v>Concept</x:v>
      </x:c>
      <x:c r="H17" s="12" t="str">
        <x:v>P1</x:v>
      </x:c>
      <x:c r="I17" s="12" t="str">
        <x:v>Phase 3</x:v>
      </x:c>
      <x:c r="J17" s="12" t="str">
        <x:v>Planned</x:v>
      </x:c>
      <x:c r="K17" s="12" t="str">
        <x:v>Mission engine; offline sync</x:v>
      </x:c>
      <x:c r="L17" s="12" t="str">
        <x:v>FHIR where applicable</x:v>
      </x:c>
      <x:c r="M17" s="12" t="str">
        <x:v>OCR; speech; summaries</x:v>
      </x:c>
      <x:c r="N17" s="12" t="str">
        <x:v>Yes</x:v>
      </x:c>
      <x:c r="O17" s="12" t="str">
        <x:v>Yes</x:v>
      </x:c>
      <x:c r="P17" s="12" t="str">
        <x:v>Clinical oversight</x:v>
      </x:c>
      <x:c r="Q17" s="12" t="str">
        <x:v>Field simulation</x:v>
      </x:c>
      <x:c r="R17" s="12" t="str">
        <x:v>Founder</x:v>
      </x:c>
      <x:c r="S17" s="12" t="str">
        <x:v>2027-Q3</x:v>
      </x:c>
      <x:c r="T17" s="12" t="str">
        <x:v>Civilian/approved defence-medical</x:v>
      </x:c>
    </x:row>
    <x:row r="18">
      <x:c r="A18" s="12" t="str">
        <x:v>CD-017</x:v>
      </x:c>
      <x:c r="B18" s="12" t="str">
        <x:v>Computer Vision</x:v>
      </x:c>
      <x:c r="C18" s="12" t="str">
        <x:v>Multimodal Vision Services</x:v>
      </x:c>
      <x:c r="D18" s="12" t="str">
        <x:v>OCR, barcode/QR, labels, equipment recognition and video/image analysis.</x:v>
      </x:c>
      <x:c r="E18" s="12" t="str">
        <x:v>Clinical; Field</x:v>
      </x:c>
      <x:c r="F18" s="12" t="str">
        <x:v>Documentation; inventory</x:v>
      </x:c>
      <x:c r="G18" s="12" t="str">
        <x:v>Prototype</x:v>
      </x:c>
      <x:c r="H18" s="12" t="str">
        <x:v>P1</x:v>
      </x:c>
      <x:c r="I18" s="12" t="str">
        <x:v>Phase 2</x:v>
      </x:c>
      <x:c r="J18" s="12" t="str">
        <x:v>In Progress</x:v>
      </x:c>
      <x:c r="K18" s="12" t="str">
        <x:v>Vision models; storage</x:v>
      </x:c>
      <x:c r="L18" s="12" t="str">
        <x:v>RTSP; ONVIF; image APIs</x:v>
      </x:c>
      <x:c r="M18" s="12" t="str">
        <x:v>CV; OCR; multimodal</x:v>
      </x:c>
      <x:c r="N18" s="12" t="str">
        <x:v>Yes</x:v>
      </x:c>
      <x:c r="O18" s="12" t="str">
        <x:v>Camera/robot/drone</x:v>
      </x:c>
      <x:c r="P18" s="12" t="str">
        <x:v>Confidence; review</x:v>
      </x:c>
      <x:c r="Q18" s="12" t="str">
        <x:v>Evaluation plan</x:v>
      </x:c>
      <x:c r="R18" s="12" t="str">
        <x:v>Founder</x:v>
      </x:c>
      <x:c r="S18" s="12" t="str">
        <x:v>2027-Q1</x:v>
      </x:c>
      <x:c r="T18" s="12" t="str">
        <x:v>No biometric ID by default</x:v>
      </x:c>
    </x:row>
    <x:row r="19">
      <x:c r="A19" s="12" t="str">
        <x:v>CD-018</x:v>
      </x:c>
      <x:c r="B19" s="12" t="str">
        <x:v>Workflow</x:v>
      </x:c>
      <x:c r="C19" s="12" t="str">
        <x:v>Enterprise Workflow Engine</x:v>
      </x:c>
      <x:c r="D19" s="12" t="str">
        <x:v>Configurable workflows, approvals, triggers, SLAs, escalations and automation.</x:v>
      </x:c>
      <x:c r="E19" s="12" t="str">
        <x:v>Clinical; Admin; Ops</x:v>
      </x:c>
      <x:c r="F19" s="12" t="str">
        <x:v>Automation</x:v>
      </x:c>
      <x:c r="G19" s="12" t="str">
        <x:v>Prototype</x:v>
      </x:c>
      <x:c r="H19" s="12" t="str">
        <x:v>P0</x:v>
      </x:c>
      <x:c r="I19" s="12" t="str">
        <x:v>Phase 1</x:v>
      </x:c>
      <x:c r="J19" s="12" t="str">
        <x:v>In Progress</x:v>
      </x:c>
      <x:c r="K19" s="12" t="str">
        <x:v>Identity; events</x:v>
      </x:c>
      <x:c r="L19" s="12" t="str">
        <x:v>APIs</x:v>
      </x:c>
      <x:c r="M19" s="12" t="str">
        <x:v>Rules; agents</x:v>
      </x:c>
      <x:c r="N19" s="12" t="str">
        <x:v>Partial</x:v>
      </x:c>
      <x:c r="O19" s="12" t="str">
        <x:v>Yes</x:v>
      </x:c>
      <x:c r="P19" s="12" t="str">
        <x:v>Approval gates; audit</x:v>
      </x:c>
      <x:c r="Q19" s="12" t="str">
        <x:v>Workflow tests</x:v>
      </x:c>
      <x:c r="R19" s="12" t="str">
        <x:v>Founder</x:v>
      </x:c>
      <x:c r="S19" s="12" t="str">
        <x:v>2026-Q4</x:v>
      </x:c>
      <x:c r="T19" s="12" t="str">
        <x:v>Reusable service</x:v>
      </x:c>
    </x:row>
    <x:row r="20">
      <x:c r="A20" s="12" t="str">
        <x:v>CD-019</x:v>
      </x:c>
      <x:c r="B20" s="12" t="str">
        <x:v>Analytics</x:v>
      </x:c>
      <x:c r="C20" s="12" t="str">
        <x:v>Operational Intelligence Dashboards</x:v>
      </x:c>
      <x:c r="D20" s="12" t="str">
        <x:v>KPIs, alerts, capacity, patient flow, device/fleet status and mission views.</x:v>
      </x:c>
      <x:c r="E20" s="12" t="str">
        <x:v>Leadership; Ops</x:v>
      </x:c>
      <x:c r="F20" s="12" t="str">
        <x:v>Operational intelligence</x:v>
      </x:c>
      <x:c r="G20" s="12" t="str">
        <x:v>Prototype</x:v>
      </x:c>
      <x:c r="H20" s="12" t="str">
        <x:v>P0</x:v>
      </x:c>
      <x:c r="I20" s="12" t="str">
        <x:v>Phase 1</x:v>
      </x:c>
      <x:c r="J20" s="12" t="str">
        <x:v>In Progress</x:v>
      </x:c>
      <x:c r="K20" s="12" t="str">
        <x:v>Analytics; events</x:v>
      </x:c>
      <x:c r="L20" s="12" t="str">
        <x:v>APIs</x:v>
      </x:c>
      <x:c r="M20" s="12" t="str">
        <x:v>Forecasting; anomalies</x:v>
      </x:c>
      <x:c r="N20" s="12" t="str">
        <x:v>Partial</x:v>
      </x:c>
      <x:c r="O20" s="12" t="str">
        <x:v>Yes</x:v>
      </x:c>
      <x:c r="P20" s="12" t="str">
        <x:v>Metric lineage</x:v>
      </x:c>
      <x:c r="Q20" s="12" t="str">
        <x:v>User validation</x:v>
      </x:c>
      <x:c r="R20" s="12" t="str">
        <x:v>Founder</x:v>
      </x:c>
      <x:c r="S20" s="12" t="str">
        <x:v>2026-Q4</x:v>
      </x:c>
      <x:c r="T20" s="12" t="str">
        <x:v>Role-based</x:v>
      </x:c>
    </x:row>
    <x:row r="21">
      <x:c r="A21" s="12" t="str">
        <x:v>CD-020</x:v>
      </x:c>
      <x:c r="B21" s="12" t="str">
        <x:v>Security</x:v>
      </x:c>
      <x:c r="C21" s="12" t="str">
        <x:v>Identity, Zero Trust &amp; Audit</x:v>
      </x:c>
      <x:c r="D21" s="12" t="str">
        <x:v>RBAC/ABAC, SSO, MFA, device identity, secrets, encryption and audit trails.</x:v>
      </x:c>
      <x:c r="E21" s="12" t="str">
        <x:v>All</x:v>
      </x:c>
      <x:c r="F21" s="12" t="str">
        <x:v>Enterprise security</x:v>
      </x:c>
      <x:c r="G21" s="12" t="str">
        <x:v>Design</x:v>
      </x:c>
      <x:c r="H21" s="12" t="str">
        <x:v>P0</x:v>
      </x:c>
      <x:c r="I21" s="12" t="str">
        <x:v>Phase 1</x:v>
      </x:c>
      <x:c r="J21" s="12" t="str">
        <x:v>In Progress</x:v>
      </x:c>
      <x:c r="K21" s="12" t="str">
        <x:v>IAM; logging</x:v>
      </x:c>
      <x:c r="L21" s="12" t="str">
        <x:v>OIDC; OAuth2; SAML</x:v>
      </x:c>
      <x:c r="M21" s="12" t="str">
        <x:v>Risk analytics</x:v>
      </x:c>
      <x:c r="N21" s="12" t="str">
        <x:v>Yes</x:v>
      </x:c>
      <x:c r="O21" s="12" t="str">
        <x:v>Yes</x:v>
      </x:c>
      <x:c r="P21" s="12" t="str">
        <x:v>Security baseline</x:v>
      </x:c>
      <x:c r="Q21" s="12" t="str">
        <x:v>Threat model</x:v>
      </x:c>
      <x:c r="R21" s="12" t="str">
        <x:v>Founder</x:v>
      </x:c>
      <x:c r="S21" s="12" t="str">
        <x:v>2026-Q4</x:v>
      </x:c>
      <x:c r="T21" s="12" t="str">
        <x:v>Foundation</x:v>
      </x:c>
    </x:row>
    <x:row r="22">
      <x:c r="A22" s="12" t="str">
        <x:v>CD-021</x:v>
      </x:c>
      <x:c r="B22" s="12" t="str">
        <x:v>Governance</x:v>
      </x:c>
      <x:c r="C22" s="12" t="str">
        <x:v>Responsible AI &amp; Model Governance</x:v>
      </x:c>
      <x:c r="D22" s="12" t="str">
        <x:v>Model inventory, approvals, evaluations, monitoring, incidents, explainability and oversight.</x:v>
      </x:c>
      <x:c r="E22" s="12" t="str">
        <x:v>Governance</x:v>
      </x:c>
      <x:c r="F22" s="12" t="str">
        <x:v>Safe AI adoption</x:v>
      </x:c>
      <x:c r="G22" s="12" t="str">
        <x:v>Design</x:v>
      </x:c>
      <x:c r="H22" s="12" t="str">
        <x:v>P0</x:v>
      </x:c>
      <x:c r="I22" s="12" t="str">
        <x:v>Phase 1</x:v>
      </x:c>
      <x:c r="J22" s="12" t="str">
        <x:v>In Progress</x:v>
      </x:c>
      <x:c r="K22" s="12" t="str">
        <x:v>Model gateway; audit</x:v>
      </x:c>
      <x:c r="L22" s="12" t="str">
        <x:v>Policy framework</x:v>
      </x:c>
      <x:c r="M22" s="12" t="str">
        <x:v>Model cards; evals</x:v>
      </x:c>
      <x:c r="N22" s="12" t="str">
        <x:v>Yes</x:v>
      </x:c>
      <x:c r="O22" s="12" t="str">
        <x:v>Indirect</x:v>
      </x:c>
      <x:c r="P22" s="12" t="str">
        <x:v>Responsible AI; privacy/security</x:v>
      </x:c>
      <x:c r="Q22" s="12" t="str">
        <x:v>Governance review</x:v>
      </x:c>
      <x:c r="R22" s="12" t="str">
        <x:v>Founder</x:v>
      </x:c>
      <x:c r="S22" s="12" t="str">
        <x:v>2026-Q4</x:v>
      </x:c>
      <x:c r="T22" s="12" t="str">
        <x:v>No certification claims without proof</x:v>
      </x:c>
    </x:row>
    <x:row r="23">
      <x:c r="A23" s="12" t="str">
        <x:v>CD-022</x:v>
      </x:c>
      <x:c r="B23" s="12" t="str">
        <x:v>Offline Resilience</x:v>
      </x:c>
      <x:c r="C23" s="12" t="str">
        <x:v>Offline-First Sync</x:v>
      </x:c>
      <x:c r="D23" s="12" t="str">
        <x:v>Critical workflows during degraded connectivity with secure reconciliation.</x:v>
      </x:c>
      <x:c r="E23" s="12" t="str">
        <x:v>Field; Remote</x:v>
      </x:c>
      <x:c r="F23" s="12" t="str">
        <x:v>Remote/disaster care</x:v>
      </x:c>
      <x:c r="G23" s="12" t="str">
        <x:v>Concept</x:v>
      </x:c>
      <x:c r="H23" s="12" t="str">
        <x:v>P1</x:v>
      </x:c>
      <x:c r="I23" s="12" t="str">
        <x:v>Phase 2</x:v>
      </x:c>
      <x:c r="J23" s="12" t="str">
        <x:v>Planned</x:v>
      </x:c>
      <x:c r="K23" s="12" t="str">
        <x:v>Local storage; sync</x:v>
      </x:c>
      <x:c r="L23" s="12" t="str">
        <x:v>Secure sync APIs</x:v>
      </x:c>
      <x:c r="M23" s="12" t="str">
        <x:v>Local AI optional</x:v>
      </x:c>
      <x:c r="N23" s="12" t="str">
        <x:v>Yes</x:v>
      </x:c>
      <x:c r="O23" s="12" t="str">
        <x:v>Yes</x:v>
      </x:c>
      <x:c r="P23" s="12" t="str">
        <x:v>Conflict resolution; encryption</x:v>
      </x:c>
      <x:c r="Q23" s="12" t="str">
        <x:v>Offline tests</x:v>
      </x:c>
      <x:c r="R23" s="12" t="str">
        <x:v>Founder</x:v>
      </x:c>
      <x:c r="S23" s="12" t="str">
        <x:v>2027-Q2</x:v>
      </x:c>
      <x:c r="T23" s="12" t="str">
        <x:v>Field-critical</x:v>
      </x:c>
    </x:row>
    <x:row r="24">
      <x:c r="A24" s="12" t="str">
        <x:v>CD-023</x:v>
      </x:c>
      <x:c r="B24" s="12" t="str">
        <x:v>Developer Platform</x:v>
      </x:c>
      <x:c r="C24" s="12" t="str">
        <x:v>API, SDK &amp; Integration Marketplace</x:v>
      </x:c>
      <x:c r="D24" s="12" t="str">
        <x:v>APIs, SDKs, adapters, sandbox and reusable partner integrations.</x:v>
      </x:c>
      <x:c r="E24" s="12" t="str">
        <x:v>Developers; Partners</x:v>
      </x:c>
      <x:c r="F24" s="12" t="str">
        <x:v>Ecosystem</x:v>
      </x:c>
      <x:c r="G24" s="12" t="str">
        <x:v>Concept</x:v>
      </x:c>
      <x:c r="H24" s="12" t="str">
        <x:v>P2</x:v>
      </x:c>
      <x:c r="I24" s="12" t="str">
        <x:v>Phase 4</x:v>
      </x:c>
      <x:c r="J24" s="12" t="str">
        <x:v>Planned</x:v>
      </x:c>
      <x:c r="K24" s="12" t="str">
        <x:v>API gateway; portal</x:v>
      </x:c>
      <x:c r="L24" s="12" t="str">
        <x:v>REST; GraphQL; gRPC</x:v>
      </x:c>
      <x:c r="M24" s="12" t="str">
        <x:v>AI APIs</x:v>
      </x:c>
      <x:c r="N24" s="12" t="str">
        <x:v>Yes</x:v>
      </x:c>
      <x:c r="O24" s="12" t="str">
        <x:v>Yes</x:v>
      </x:c>
      <x:c r="P24" s="12" t="str">
        <x:v>Permissions; review</x:v>
      </x:c>
      <x:c r="Q24" s="12" t="str">
        <x:v>Partner pilot</x:v>
      </x:c>
      <x:c r="R24" s="12" t="str">
        <x:v>Founder</x:v>
      </x:c>
      <x:c r="S24" s="12" t="str">
        <x:v>2027-Q4</x:v>
      </x:c>
      <x:c r="T24" s="12" t="str">
        <x:v>Commercial ecosystem</x:v>
      </x:c>
    </x:row>
    <x:row r="25">
      <x:c r="A25" s="12" t="str">
        <x:v>CD-024</x:v>
      </x:c>
      <x:c r="B25" s="12" t="str">
        <x:v>Research</x:v>
      </x:c>
      <x:c r="C25" s="12" t="str">
        <x:v>Evaluation &amp; Benchmarking Lab</x:v>
      </x:c>
      <x:c r="D25" s="12" t="str">
        <x:v>Benchmark models, agents, retrieval, compression, latency, safety, reliability and cost.</x:v>
      </x:c>
      <x:c r="E25" s="12" t="str">
        <x:v>AI; Research</x:v>
      </x:c>
      <x:c r="F25" s="12" t="str">
        <x:v>Release evidence</x:v>
      </x:c>
      <x:c r="G25" s="12" t="str">
        <x:v>Design</x:v>
      </x:c>
      <x:c r="H25" s="12" t="str">
        <x:v>P1</x:v>
      </x:c>
      <x:c r="I25" s="12" t="str">
        <x:v>Phase 2</x:v>
      </x:c>
      <x:c r="J25" s="12" t="str">
        <x:v>Planned</x:v>
      </x:c>
      <x:c r="K25" s="12" t="str">
        <x:v>Observability; datasets</x:v>
      </x:c>
      <x:c r="L25" s="12" t="str">
        <x:v>Internal</x:v>
      </x:c>
      <x:c r="M25" s="12" t="str">
        <x:v>Evaluation harness</x:v>
      </x:c>
      <x:c r="N25" s="12" t="str">
        <x:v>Yes</x:v>
      </x:c>
      <x:c r="O25" s="12" t="str">
        <x:v>Indirect</x:v>
      </x:c>
      <x:c r="P25" s="12" t="str">
        <x:v>Reproducibility; gates</x:v>
      </x:c>
      <x:c r="Q25" s="12" t="str">
        <x:v>Benchmark reports</x:v>
      </x:c>
      <x:c r="R25" s="12" t="str">
        <x:v>Founder</x:v>
      </x:c>
      <x:c r="S25" s="12" t="str">
        <x:v>2027-Q1</x:v>
      </x:c>
      <x:c r="T25" s="12" t="str">
        <x:v>Academic collaboration</x:v>
      </x:c>
    </x:row>
    <x:row r="26">
      <x:c r="A26" s="12" t="str">
        <x:v>CD-025</x:v>
      </x:c>
      <x:c r="B26" s="12" t="str">
        <x:v>Commercialization</x:v>
      </x:c>
      <x:c r="C26" s="12" t="str">
        <x:v>Pilot &amp; Deployment Toolkit</x:v>
      </x:c>
      <x:c r="D26" s="12" t="str">
        <x:v>Readiness checklist, sandbox, training, KPI baselines, pilot measurement and ROI evidence.</x:v>
      </x:c>
      <x:c r="E26" s="12" t="str">
        <x:v>Customers; Partners</x:v>
      </x:c>
      <x:c r="F26" s="12" t="str">
        <x:v>Pilots</x:v>
      </x:c>
      <x:c r="G26" s="12" t="str">
        <x:v>Concept</x:v>
      </x:c>
      <x:c r="H26" s="12" t="str">
        <x:v>P0</x:v>
      </x:c>
      <x:c r="I26" s="12" t="str">
        <x:v>Phase 2</x:v>
      </x:c>
      <x:c r="J26" s="12" t="str">
        <x:v>Planned</x:v>
      </x:c>
      <x:c r="K26" s="12" t="str">
        <x:v>Security; integrations; analytics</x:v>
      </x:c>
      <x:c r="L26" s="12" t="str">
        <x:v>FHIR; APIs</x:v>
      </x:c>
      <x:c r="M26" s="12" t="str">
        <x:v>Analytics</x:v>
      </x:c>
      <x:c r="N26" s="12" t="str">
        <x:v>Partial</x:v>
      </x:c>
      <x:c r="O26" s="12" t="str">
        <x:v>Optional</x:v>
      </x:c>
      <x:c r="P26" s="12" t="str">
        <x:v>Privacy/security assessment</x:v>
      </x:c>
      <x:c r="Q26" s="12" t="str">
        <x:v>Pilot protocol</x:v>
      </x:c>
      <x:c r="R26" s="12" t="str">
        <x:v>Founder</x:v>
      </x:c>
      <x:c r="S26" s="12" t="str">
        <x:v>2027-Q1</x:v>
      </x:c>
      <x:c r="T26" s="12" t="str">
        <x:v>Commercial readiness</x:v>
      </x:c>
    </x:row>
  </x:sheetData>
  <x:dataValidations count="6">
    <x:dataValidation type="list" sqref="G2:G200">
      <x:formula1>"Concept,Research,Design,Prototype,MVP,Pilot,Production"</x:formula1>
    </x:dataValidation>
    <x:dataValidation type="list" sqref="H2:H200">
      <x:formula1>"P0,P1,P2,P3"</x:formula1>
    </x:dataValidation>
    <x:dataValidation type="list" sqref="I2:I200">
      <x:formula1>"Phase 1,Phase 2,Phase 3,Phase 4"</x:formula1>
    </x:dataValidation>
    <x:dataValidation type="list" sqref="J2:J200">
      <x:formula1>"Backlog,Research,Planned,In Progress,Blocked,Validation,Done"</x:formula1>
    </x:dataValidation>
    <x:dataValidation type="list" sqref="R2:R200">
      <x:formula1>"Founder,Academic Team,Engineering,Clinical Advisor,Partner,TBD"</x:formula1>
    </x:dataValidation>
    <x:dataValidation type="list" sqref="S2:S200">
      <x:formula1>"2026-Q4,2027-Q1,2027-Q2,2027-Q3,2027-Q4,TBD"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4c22c00ed34e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32" hidden="0" customWidth="1"/>
    <x:col min="8" max="8" width="28" hidden="0" customWidth="1"/>
  </x:cols>
  <x:sheetData>
    <x:row r="1">
      <x:c r="A1" s="16" t="str">
        <x:v>Workstream</x:v>
      </x:c>
      <x:c r="B1" s="16" t="str">
        <x:v>2026-Q4</x:v>
      </x:c>
      <x:c r="C1" s="16" t="str">
        <x:v>2027-Q1</x:v>
      </x:c>
      <x:c r="D1" s="16" t="str">
        <x:v>2027-Q2</x:v>
      </x:c>
      <x:c r="E1" s="16" t="str">
        <x:v>2027-Q3</x:v>
      </x:c>
      <x:c r="F1" s="16" t="str">
        <x:v>2027-Q4</x:v>
      </x:c>
      <x:c r="G1" s="16" t="str">
        <x:v>Success Measure</x:v>
      </x:c>
      <x:c r="H1" s="16" t="str">
        <x:v>Dependency</x:v>
      </x:c>
    </x:row>
    <x:row r="2">
      <x:c r="A2" s="12" t="str">
        <x:v>Healthcare Core</x:v>
      </x:c>
      <x:c r="B2" s="12" t="str">
        <x:v>ED + engagement MVP</x:v>
      </x:c>
      <x:c r="C2" s="12" t="str">
        <x:v>Pilot toolkit + integrations</x:v>
      </x:c>
      <x:c r="D2" s="12" t="str">
        <x:v>Pilot iteration</x:v>
      </x:c>
      <x:c r="E2" s="12" t="str">
        <x:v>Scale readiness</x:v>
      </x:c>
      <x:c r="F2" s="12" t="str">
        <x:v>Multi-site roadmap</x:v>
      </x:c>
      <x:c r="G2" s="12" t="str">
        <x:v>Pilot-ready core</x:v>
      </x:c>
      <x:c r="H2" s="12" t="str">
        <x:v>Clinical validation</x:v>
      </x:c>
    </x:row>
    <x:row r="3">
      <x:c r="A3" s="12" t="str">
        <x:v>Knowledge &amp; Agents</x:v>
      </x:c>
      <x:c r="B3" s="12" t="str">
        <x:v>Graph + agents</x:v>
      </x:c>
      <x:c r="C3" s="12" t="str">
        <x:v>Evaluation lab</x:v>
      </x:c>
      <x:c r="D3" s="12" t="str">
        <x:v>Advanced RAG/memory</x:v>
      </x:c>
      <x:c r="E3" s="12" t="str">
        <x:v>Mission knowledge</x:v>
      </x:c>
      <x:c r="F3" s="12" t="str">
        <x:v>Partner APIs</x:v>
      </x:c>
      <x:c r="G3" s="12" t="str">
        <x:v>Traceable AI workflows</x:v>
      </x:c>
      <x:c r="H3" s="12" t="str">
        <x:v>Data governance</x:v>
      </x:c>
    </x:row>
    <x:row r="4">
      <x:c r="A4" s="12" t="str">
        <x:v>Security &amp; Governance</x:v>
      </x:c>
      <x:c r="B4" s="12" t="str">
        <x:v>IAM + audit + AI governance</x:v>
      </x:c>
      <x:c r="C4" s="12" t="str">
        <x:v>Threat modeling</x:v>
      </x:c>
      <x:c r="D4" s="12" t="str">
        <x:v>Offline security</x:v>
      </x:c>
      <x:c r="E4" s="12" t="str">
        <x:v>Partner controls</x:v>
      </x:c>
      <x:c r="F4" s="12" t="str">
        <x:v>Certification readiness</x:v>
      </x:c>
      <x:c r="G4" s="12" t="str">
        <x:v>Governed releases</x:v>
      </x:c>
      <x:c r="H4" s="12" t="str">
        <x:v>Security architecture</x:v>
      </x:c>
    </x:row>
    <x:row r="5">
      <x:c r="A5" s="12" t="str">
        <x:v>IoT &amp; Edge</x:v>
      </x:c>
      <x:c r="B5" s="12" t="str">
        <x:v>Architecture</x:v>
      </x:c>
      <x:c r="C5" s="12" t="str">
        <x:v>Device registry + telemetry</x:v>
      </x:c>
      <x:c r="D5" s="12" t="str">
        <x:v>Hybrid intelligence + offline sync</x:v>
      </x:c>
      <x:c r="E5" s="12" t="str">
        <x:v>Fleet intelligence</x:v>
      </x:c>
      <x:c r="F5" s="12" t="str">
        <x:v>Scale integrations</x:v>
      </x:c>
      <x:c r="G5" s="12" t="str">
        <x:v>Edge demo</x:v>
      </x:c>
      <x:c r="H5" s="12" t="str">
        <x:v>Hardware partners</x:v>
      </x:c>
    </x:row>
    <x:row r="6">
      <x:c r="A6" s="12" t="str">
        <x:v>Digital Twin</x:v>
      </x:c>
      <x:c r="B6" s="12" t="str">
        <x:v>Model definition</x:v>
      </x:c>
      <x:c r="C6" s="12" t="str">
        <x:v>Prototype planning</x:v>
      </x:c>
      <x:c r="D6" s="12" t="str">
        <x:v>Hospital twin prototype</x:v>
      </x:c>
      <x:c r="E6" s="12" t="str">
        <x:v>Operational simulation</x:v>
      </x:c>
      <x:c r="F6" s="12" t="str">
        <x:v>Expanded twin</x:v>
      </x:c>
      <x:c r="G6" s="12" t="str">
        <x:v>Validated scenario</x:v>
      </x:c>
      <x:c r="H6" s="12" t="str">
        <x:v>Telemetry</x:v>
      </x:c>
    </x:row>
    <x:row r="7">
      <x:c r="A7" s="12" t="str">
        <x:v>Robotics</x:v>
      </x:c>
      <x:c r="B7" s="12" t="str">
        <x:v>Requirements</x:v>
      </x:c>
      <x:c r="C7" s="12" t="str">
        <x:v>Adapter SDK</x:v>
      </x:c>
      <x:c r="D7" s="12" t="str">
        <x:v>Simulation</x:v>
      </x:c>
      <x:c r="E7" s="12" t="str">
        <x:v>Robot integration pilot</x:v>
      </x:c>
      <x:c r="F7" s="12" t="str">
        <x:v>Partner expansion</x:v>
      </x:c>
      <x:c r="G7" s="12" t="str">
        <x:v>Validated non-weaponized integration</x:v>
      </x:c>
      <x:c r="H7" s="12" t="str">
        <x:v>Robotics partner</x:v>
      </x:c>
    </x:row>
    <x:row r="8">
      <x:c r="A8" s="12" t="str">
        <x:v>UAV Medical</x:v>
      </x:c>
      <x:c r="B8" s="12" t="str">
        <x:v>Use cases</x:v>
      </x:c>
      <x:c r="C8" s="12" t="str">
        <x:v>Safety + adapter architecture</x:v>
      </x:c>
      <x:c r="D8" s="12" t="str">
        <x:v>Simulation + partners</x:v>
      </x:c>
      <x:c r="E8" s="12" t="str">
        <x:v>Integration sandbox</x:v>
      </x:c>
      <x:c r="F8" s="12" t="str">
        <x:v>Medical/logistics demo</x:v>
      </x:c>
      <x:c r="G8" s="12" t="str">
        <x:v>Partner-based workflow demo</x:v>
      </x:c>
      <x:c r="H8" s="12" t="str">
        <x:v>Qualified partner</x:v>
      </x:c>
    </x:row>
    <x:row r="9">
      <x:c r="A9" s="12" t="str">
        <x:v>Mission Intelligence</x:v>
      </x:c>
      <x:c r="B9" s="12" t="str">
        <x:v>Domain model</x:v>
      </x:c>
      <x:c r="C9" s="12" t="str">
        <x:v>Workflow prototypes</x:v>
      </x:c>
      <x:c r="D9" s="12" t="str">
        <x:v>Offline field workflow</x:v>
      </x:c>
      <x:c r="E9" s="12" t="str">
        <x:v>Mission engine MVP</x:v>
      </x:c>
      <x:c r="F9" s="12" t="str">
        <x:v>Scenario validation</x:v>
      </x:c>
      <x:c r="G9" s="12" t="str">
        <x:v>End-to-end exercise</x:v>
      </x:c>
      <x:c r="H9" s="12" t="str">
        <x:v>IoT + workflow</x:v>
      </x:c>
    </x:row>
    <x:row r="10">
      <x:c r="A10" s="12" t="str">
        <x:v>Commercialization</x:v>
      </x:c>
      <x:c r="B10" s="12" t="str">
        <x:v>Pitch + positioning</x:v>
      </x:c>
      <x:c r="C10" s="12" t="str">
        <x:v>Pilot package</x:v>
      </x:c>
      <x:c r="D10" s="12" t="str">
        <x:v>Partner pipeline</x:v>
      </x:c>
      <x:c r="E10" s="12" t="str">
        <x:v>Evidence/ROI</x:v>
      </x:c>
      <x:c r="F10" s="12" t="str">
        <x:v>Scale GTM</x:v>
      </x:c>
      <x:c r="G10" s="12" t="str">
        <x:v>Qualified pilots</x:v>
      </x:c>
      <x:c r="H10" s="12" t="str">
        <x:v>Customer discovery</x:v>
      </x:c>
    </x:row>
    <x:row r="11">
      <x:c r="A11" s="12" t="str">
        <x:v>Academic / Research</x:v>
      </x:c>
      <x:c r="B11" s="12" t="str">
        <x:v>Evidence register</x:v>
      </x:c>
      <x:c r="C11" s="12" t="str">
        <x:v>ASU architecture outputs</x:v>
      </x:c>
      <x:c r="D11" s="12" t="str">
        <x:v>Benchmarks</x:v>
      </x:c>
      <x:c r="E11" s="12" t="str">
        <x:v>Research validation</x:v>
      </x:c>
      <x:c r="F11" s="12" t="str">
        <x:v>Case-study readiness</x:v>
      </x:c>
      <x:c r="G11" s="12" t="str">
        <x:v>Actionable research artifacts</x:v>
      </x:c>
      <x:c r="H11" s="12" t="str">
        <x:v>Academic collaboration</x:v>
      </x:c>
    </x:row>
  </x:sheetData>
  <x:pageMargins left="0.7" right="0.7" top="0.75" bottom="0.75" header="0.3" footer="0.3"/>
  <x:tableParts count="1">
    <x:tablePart xmlns:r="http://schemas.openxmlformats.org/officeDocument/2006/relationships" r:id="Rf9e3ff67772840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4" hidden="0" customWidth="1"/>
    <x:col min="4" max="4" width="30" hidden="0" customWidth="1"/>
    <x:col min="5" max="5" width="28" hidden="0" customWidth="1"/>
    <x:col min="6" max="6" width="30" hidden="0" customWidth="1"/>
    <x:col min="7" max="7" width="12" hidden="0" customWidth="1"/>
    <x:col min="8" max="8" width="38" hidden="0" customWidth="1"/>
    <x:col min="9" max="9" width="10" hidden="0" customWidth="1"/>
    <x:col min="10" max="10" width="14" hidden="0" customWidth="1"/>
    <x:col min="11" max="11" width="20" hidden="0" customWidth="1"/>
    <x:col min="12" max="12" width="34" hidden="0" customWidth="1"/>
  </x:cols>
  <x:sheetData>
    <x:row r="1">
      <x:c r="A1" s="16" t="str">
        <x:v>Category</x:v>
      </x:c>
      <x:c r="B1" s="16" t="str">
        <x:v>System / Device</x:v>
      </x:c>
      <x:c r="C1" s="16" t="str">
        <x:v>Pattern</x:v>
      </x:c>
      <x:c r="D1" s="16" t="str">
        <x:v>Protocols / Standards</x:v>
      </x:c>
      <x:c r="E1" s="16" t="str">
        <x:v>Data In</x:v>
      </x:c>
      <x:c r="F1" s="16" t="str">
        <x:v>Data Out</x:v>
      </x:c>
      <x:c r="G1" s="16" t="str">
        <x:v>Offline?</x:v>
      </x:c>
      <x:c r="H1" s="16" t="str">
        <x:v>Safety / Governance</x:v>
      </x:c>
      <x:c r="I1" s="16" t="str">
        <x:v>Priority</x:v>
      </x:c>
      <x:c r="J1" s="16" t="str">
        <x:v>Status</x:v>
      </x:c>
      <x:c r="K1" s="16" t="str">
        <x:v>Partner</x:v>
      </x:c>
      <x:c r="L1" s="16" t="str">
        <x:v>Notes</x:v>
      </x:c>
    </x:row>
    <x:row r="2">
      <x:c r="A2" s="12" t="str">
        <x:v>Healthcare</x:v>
      </x:c>
      <x:c r="B2" s="12" t="str">
        <x:v>EHR / EMR</x:v>
      </x:c>
      <x:c r="C2" s="12" t="str">
        <x:v>Adapter/API</x:v>
      </x:c>
      <x:c r="D2" s="12" t="str">
        <x:v>HL7 FHIR; REST</x:v>
      </x:c>
      <x:c r="E2" s="12" t="str">
        <x:v>Clinical data</x:v>
      </x:c>
      <x:c r="F2" s="12" t="str">
        <x:v>Approved workflow updates</x:v>
      </x:c>
      <x:c r="G2" s="12" t="str">
        <x:v>Partial</x:v>
      </x:c>
      <x:c r="H2" s="12" t="str">
        <x:v>Consent; least privilege; audit</x:v>
      </x:c>
      <x:c r="I2" s="12" t="str">
        <x:v>P0</x:v>
      </x:c>
      <x:c r="J2" s="12" t="str">
        <x:v>Planned</x:v>
      </x:c>
      <x:c r="K2" s="12" t="str">
        <x:v>Vendor-neutral</x:v>
      </x:c>
      <x:c r="L2" s="12" t="str">
        <x:v>Sandbox first</x:v>
      </x:c>
    </x:row>
    <x:row r="3">
      <x:c r="A3" s="12" t="str">
        <x:v>Imaging</x:v>
      </x:c>
      <x:c r="B3" s="12" t="str">
        <x:v>PACS / Imaging</x:v>
      </x:c>
      <x:c r="C3" s="12" t="str">
        <x:v>Adapter</x:v>
      </x:c>
      <x:c r="D3" s="12" t="str">
        <x:v>DICOM; DICOMweb</x:v>
      </x:c>
      <x:c r="E3" s="12" t="str">
        <x:v>Images/metadata</x:v>
      </x:c>
      <x:c r="F3" s="12" t="str">
        <x:v>Reviewed AI results</x:v>
      </x:c>
      <x:c r="G3" s="12" t="str">
        <x:v>Partial</x:v>
      </x:c>
      <x:c r="H3" s="12" t="str">
        <x:v>Clinical review; provenance</x:v>
      </x:c>
      <x:c r="I3" s="12" t="str">
        <x:v>P1</x:v>
      </x:c>
      <x:c r="J3" s="12" t="str">
        <x:v>Planned</x:v>
      </x:c>
      <x:c r="K3" s="12" t="str">
        <x:v>Vendor-neutral</x:v>
      </x:c>
      <x:c r="L3" s="12" t="str">
        <x:v>No autonomous diagnosis</x:v>
      </x:c>
    </x:row>
    <x:row r="4">
      <x:c r="A4" s="12" t="str">
        <x:v>Medical IoT</x:v>
      </x:c>
      <x:c r="B4" s="12" t="str">
        <x:v>Vitals / wearables</x:v>
      </x:c>
      <x:c r="C4" s="12" t="str">
        <x:v>Gateway</x:v>
      </x:c>
      <x:c r="D4" s="12" t="str">
        <x:v>MQTT; BLE; FHIR where applicable</x:v>
      </x:c>
      <x:c r="E4" s="12" t="str">
        <x:v>Vitals/telemetry</x:v>
      </x:c>
      <x:c r="F4" s="12" t="str">
        <x:v>Alerts/events</x:v>
      </x:c>
      <x:c r="G4" s="12" t="str">
        <x:v>Yes</x:v>
      </x:c>
      <x:c r="H4" s="12" t="str">
        <x:v>Device identity; data quality</x:v>
      </x:c>
      <x:c r="I4" s="12" t="str">
        <x:v>P1</x:v>
      </x:c>
      <x:c r="J4" s="12" t="str">
        <x:v>Planned</x:v>
      </x:c>
      <x:c r="K4" s="12" t="str">
        <x:v>Vendor-neutral</x:v>
      </x:c>
      <x:c r="L4" s="12" t="str">
        <x:v>Simulation first</x:v>
      </x:c>
    </x:row>
    <x:row r="5">
      <x:c r="A5" s="12" t="str">
        <x:v>Robotics</x:v>
      </x:c>
      <x:c r="B5" s="12" t="str">
        <x:v>Healthcare robot / UGV</x:v>
      </x:c>
      <x:c r="C5" s="12" t="str">
        <x:v>Hardware abstraction adapter</x:v>
      </x:c>
      <x:c r="D5" s="12" t="str">
        <x:v>ROS 2; DDS; REST</x:v>
      </x:c>
      <x:c r="E5" s="12" t="str">
        <x:v>Telemetry; camera; status</x:v>
      </x:c>
      <x:c r="F5" s="12" t="str">
        <x:v>Authorized tasks</x:v>
      </x:c>
      <x:c r="G5" s="12" t="str">
        <x:v>Yes</x:v>
      </x:c>
      <x:c r="H5" s="12" t="str">
        <x:v>Human control; geofence; emergency stop</x:v>
      </x:c>
      <x:c r="I5" s="12" t="str">
        <x:v>P2</x:v>
      </x:c>
      <x:c r="J5" s="12" t="str">
        <x:v>Planned</x:v>
      </x:c>
      <x:c r="K5" s="12" t="str">
        <x:v>TBD</x:v>
      </x:c>
      <x:c r="L5" s="12" t="str">
        <x:v>Medical/logistics only</x:v>
      </x:c>
    </x:row>
    <x:row r="6">
      <x:c r="A6" s="12" t="str">
        <x:v>UAV</x:v>
      </x:c>
      <x:c r="B6" s="12" t="str">
        <x:v>Medical/logistics drone</x:v>
      </x:c>
      <x:c r="C6" s="12" t="str">
        <x:v>Partner adapter</x:v>
      </x:c>
      <x:c r="D6" s="12" t="str">
        <x:v>Controlled MAVLink adapter; MQTT; REST</x:v>
      </x:c>
      <x:c r="E6" s="12" t="str">
        <x:v>Telemetry; imagery; payload</x:v>
      </x:c>
      <x:c r="F6" s="12" t="str">
        <x:v>Authorized medical/logistics mission data</x:v>
      </x:c>
      <x:c r="G6" s="12" t="str">
        <x:v>Yes</x:v>
      </x:c>
      <x:c r="H6" s="12" t="str">
        <x:v>No targeting; human authorization; geofence</x:v>
      </x:c>
      <x:c r="I6" s="12" t="str">
        <x:v>P2</x:v>
      </x:c>
      <x:c r="J6" s="12" t="str">
        <x:v>Planned</x:v>
      </x:c>
      <x:c r="K6" s="12" t="str">
        <x:v>TBD</x:v>
      </x:c>
      <x:c r="L6" s="12" t="str">
        <x:v>Integration, not manufacturing</x:v>
      </x:c>
    </x:row>
    <x:row r="7">
      <x:c r="A7" s="12" t="str">
        <x:v>Emergency</x:v>
      </x:c>
      <x:c r="B7" s="12" t="str">
        <x:v>Ambulance / mobile unit</x:v>
      </x:c>
      <x:c r="C7" s="12" t="str">
        <x:v>Edge gateway</x:v>
      </x:c>
      <x:c r="D7" s="12" t="str">
        <x:v>FHIR; MQTT; REST; GPS</x:v>
      </x:c>
      <x:c r="E7" s="12" t="str">
        <x:v>Patient/vehicle/device events</x:v>
      </x:c>
      <x:c r="F7" s="12" t="str">
        <x:v>Handoff/workflow</x:v>
      </x:c>
      <x:c r="G7" s="12" t="str">
        <x:v>Yes</x:v>
      </x:c>
      <x:c r="H7" s="12" t="str">
        <x:v>Encryption; role access</x:v>
      </x:c>
      <x:c r="I7" s="12" t="str">
        <x:v>P1</x:v>
      </x:c>
      <x:c r="J7" s="12" t="str">
        <x:v>Planned</x:v>
      </x:c>
      <x:c r="K7" s="12" t="str">
        <x:v>TBD</x:v>
      </x:c>
      <x:c r="L7" s="12" t="str">
        <x:v>Store-and-forward</x:v>
      </x:c>
    </x:row>
    <x:row r="8">
      <x:c r="A8" s="12" t="str">
        <x:v>Facilities</x:v>
      </x:c>
      <x:c r="B8" s="12" t="str">
        <x:v>Smart building / environmental</x:v>
      </x:c>
      <x:c r="C8" s="12" t="str">
        <x:v>IoT gateway</x:v>
      </x:c>
      <x:c r="D8" s="12" t="str">
        <x:v>OPC UA; MQTT</x:v>
      </x:c>
      <x:c r="E8" s="12" t="str">
        <x:v>Environmental/asset data</x:v>
      </x:c>
      <x:c r="F8" s="12" t="str">
        <x:v>Alerts</x:v>
      </x:c>
      <x:c r="G8" s="12" t="str">
        <x:v>Yes</x:v>
      </x:c>
      <x:c r="H8" s="12" t="str">
        <x:v>Segmentation</x:v>
      </x:c>
      <x:c r="I8" s="12" t="str">
        <x:v>P2</x:v>
      </x:c>
      <x:c r="J8" s="12" t="str">
        <x:v>Backlog</x:v>
      </x:c>
      <x:c r="K8" s="12" t="str">
        <x:v>Vendor-neutral</x:v>
      </x:c>
      <x:c r="L8" s="12" t="str">
        <x:v>Digital twin input</x:v>
      </x:c>
    </x:row>
    <x:row r="9">
      <x:c r="A9" s="12" t="str">
        <x:v>Communications</x:v>
      </x:c>
      <x:c r="B9" s="12" t="str">
        <x:v>Satellite / resilient comms</x:v>
      </x:c>
      <x:c r="C9" s="12" t="str">
        <x:v>Secure gateway</x:v>
      </x:c>
      <x:c r="D9" s="12" t="str">
        <x:v>Partner APIs / IP</x:v>
      </x:c>
      <x:c r="E9" s="12" t="str">
        <x:v>Connectivity/status</x:v>
      </x:c>
      <x:c r="F9" s="12" t="str">
        <x:v>Encrypted sync</x:v>
      </x:c>
      <x:c r="G9" s="12" t="str">
        <x:v>Yes</x:v>
      </x:c>
      <x:c r="H9" s="12" t="str">
        <x:v>Key management</x:v>
      </x:c>
      <x:c r="I9" s="12" t="str">
        <x:v>P2</x:v>
      </x:c>
      <x:c r="J9" s="12" t="str">
        <x:v>Research</x:v>
      </x:c>
      <x:c r="K9" s="12" t="str">
        <x:v>TBD</x:v>
      </x:c>
      <x:c r="L9" s="12" t="str">
        <x:v>Remote/disaster use</x:v>
      </x:c>
    </x:row>
  </x:sheetData>
  <x:pageMargins left="0.7" right="0.7" top="0.75" bottom="0.75" header="0.3" footer="0.3"/>
  <x:tableParts count="1">
    <x:tablePart xmlns:r="http://schemas.openxmlformats.org/officeDocument/2006/relationships" r:id="R2bc380cff6d54d3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2" hidden="0" customWidth="1"/>
    <x:col min="4" max="4" width="40" hidden="0" customWidth="1"/>
    <x:col min="5" max="5" width="18" hidden="0" customWidth="1"/>
    <x:col min="6" max="6" width="34" hidden="0" customWidth="1"/>
    <x:col min="7" max="7" width="58" hidden="0" customWidth="1"/>
    <x:col min="8" max="8" width="34" hidden="0" customWidth="1"/>
    <x:col min="9" max="9" width="42" hidden="0" customWidth="1"/>
  </x:cols>
  <x:sheetData>
    <x:row r="1">
      <x:c r="A1" s="16" t="str">
        <x:v>Initiative</x:v>
      </x:c>
      <x:c r="B1" s="16" t="str">
        <x:v>Organization / Program</x:v>
      </x:c>
      <x:c r="C1" s="16" t="str">
        <x:v>Type</x:v>
      </x:c>
      <x:c r="D1" s="16" t="str">
        <x:v>Scope</x:v>
      </x:c>
      <x:c r="E1" s="16" t="str">
        <x:v>Status</x:v>
      </x:c>
      <x:c r="F1" s="16" t="str">
        <x:v>Evidence / Deliverable</x:v>
      </x:c>
      <x:c r="G1" s="16" t="str">
        <x:v>Claim-Safe Language</x:v>
      </x:c>
      <x:c r="H1" s="16" t="str">
        <x:v>Next Action</x:v>
      </x:c>
      <x:c r="I1" s="16" t="str">
        <x:v>Source / Reference</x:v>
      </x:c>
    </x:row>
    <x:row r="2">
      <x:c r="A2" s="12" t="str">
        <x:v>Business &amp; commercialization evaluation</x:v>
      </x:c>
      <x:c r="B2" s="12" t="str">
        <x:v>Riipen / London Metropolitan University</x:v>
      </x:c>
      <x:c r="C2" s="12" t="str">
        <x:v>Experiential learning</x:v>
      </x:c>
      <x:c r="D2" s="12" t="str">
        <x:v>Business model, positioning and commercialization</x:v>
      </x:c>
      <x:c r="E2" s="12" t="str">
        <x:v>Completed / historical</x:v>
      </x:c>
      <x:c r="F2" s="12" t="str">
        <x:v>Student evaluation/recommendations</x:v>
      </x:c>
      <x:c r="G2" s="12" t="str">
        <x:v>CareDroid participated in experiential learning through Riipen; a London Metropolitan University student team evaluated its business model and commercialization strategy.</x:v>
      </x:c>
      <x:c r="H2" s="12" t="str">
        <x:v>Archive deliverables</x:v>
      </x:c>
      <x:c r="I2" s="12" t="str">
        <x:v>Internal project records</x:v>
      </x:c>
    </x:row>
    <x:row r="3">
      <x:c r="A3" s="12" t="str">
        <x:v>Technical architecture collaboration</x:v>
      </x:c>
      <x:c r="B3" s="12" t="str">
        <x:v>Riipen / Arizona State University</x:v>
      </x:c>
      <x:c r="C3" s="12" t="str">
        <x:v>Academic collaboration</x:v>
      </x:c>
      <x:c r="D3" s="12" t="str">
        <x:v>Multidisciplinary PhD technical-architecture evaluation</x:v>
      </x:c>
      <x:c r="E3" s="12" t="str">
        <x:v>Ongoing</x:v>
      </x:c>
      <x:c r="F3" s="12" t="str">
        <x:v>Architecture findings</x:v>
      </x:c>
      <x:c r="G3" s="12" t="str">
        <x:v>Currently collaborating with a multidisciplinary team of Arizona State University PhD students to evaluate and strengthen CareDroid's technical architecture.</x:v>
      </x:c>
      <x:c r="H3" s="12" t="str">
        <x:v>Convert findings into backlog</x:v>
      </x:c>
      <x:c r="I3" s="12" t="str">
        <x:v>Internal project records</x:v>
      </x:c>
    </x:row>
    <x:row r="4">
      <x:c r="A4" s="12" t="str">
        <x:v>Healthcare workflow discovery</x:v>
      </x:c>
      <x:c r="B4" s="12" t="str">
        <x:v>Academic team / healthcare stakeholders</x:v>
      </x:c>
      <x:c r="C4" s="12" t="str">
        <x:v>Discovery</x:v>
      </x:c>
      <x:c r="D4" s="12" t="str">
        <x:v>Clinical workflows, operational challenges and AI opportunities</x:v>
      </x:c>
      <x:c r="E4" s="12" t="str">
        <x:v>Completed / ongoing</x:v>
      </x:c>
      <x:c r="F4" s="12" t="str">
        <x:v>Discovery insights</x:v>
      </x:c>
      <x:c r="G4" s="12" t="str">
        <x:v>Academic team engaged healthcare professionals/stakeholders associated with Humber River Health, Sinai Health and UHN to understand workflows and AI opportunities.</x:v>
      </x:c>
      <x:c r="H4" s="12" t="str">
        <x:v>Map findings to requirements</x:v>
      </x:c>
      <x:c r="I4" s="12" t="str">
        <x:v>Internal project records</x:v>
      </x:c>
    </x:row>
    <x:row r="5">
      <x:c r="A5" s="12" t="str">
        <x:v>Lightning Round IX</x:v>
      </x:c>
      <x:c r="B5" s="12" t="str">
        <x:v>Spark XYZ / 1752vc</x:v>
      </x:c>
      <x:c r="C5" s="12" t="str">
        <x:v>Pitch competition</x:v>
      </x:c>
      <x:c r="D5" s="12" t="str">
        <x:v>AI/frontier-tech pitch and accelerator pathway</x:v>
      </x:c>
      <x:c r="E5" s="12" t="str">
        <x:v>Application</x:v>
      </x:c>
      <x:c r="F5" s="12" t="str">
        <x:v>Pitch/application</x:v>
      </x:c>
      <x:c r="G5" s="12" t="str">
        <x:v>Invited to apply after previous Lightning Round participation; describe stage and traction accurately.</x:v>
      </x:c>
      <x:c r="H5" s="12" t="str">
        <x:v>Finalize pitch</x:v>
      </x:c>
      <x:c r="I5" s="12" t="str">
        <x:v>https://www.sparkxyz.io/applications/1880</x:v>
      </x:c>
    </x:row>
    <x:row r="6">
      <x:c r="A6" s="12" t="str">
        <x:v>Canadian autonomous-systems opportunity</x:v>
      </x:c>
      <x:c r="B6" s="12" t="str">
        <x:v>Government of Canada / procurement</x:v>
      </x:c>
      <x:c r="C6" s="12" t="str">
        <x:v>Market research</x:v>
      </x:c>
      <x:c r="D6" s="12" t="str">
        <x:v>Medical intelligence, IoT, robotics, edge AI and emergency/defence-medical support</x:v>
      </x:c>
      <x:c r="E6" s="12" t="str">
        <x:v>Research</x:v>
      </x:c>
      <x:c r="F6" s="12" t="str">
        <x:v>Capability mapping</x:v>
      </x:c>
      <x:c r="G6" s="12" t="str">
        <x:v>Position around medical intelligence and systems integration; do not imply award/qualification unless received.</x:v>
      </x:c>
      <x:c r="H6" s="12" t="str">
        <x:v>Maintain opportunity tracker</x:v>
      </x:c>
      <x:c r="I6" s="12" t="str">
        <x:v>Government procurement documentation</x:v>
      </x:c>
    </x:row>
  </x:sheetData>
  <x:pageMargins left="0.7" right="0.7" top="0.75" bottom="0.75" header="0.3" footer="0.3"/>
  <x:tableParts count="1">
    <x:tablePart xmlns:r="http://schemas.openxmlformats.org/officeDocument/2006/relationships" r:id="R1705e8a9ac7d458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42" hidden="0" customWidth="1"/>
    <x:col min="4" max="4" width="14" hidden="0" customWidth="1"/>
    <x:col min="5" max="5" width="12" hidden="0" customWidth="1"/>
    <x:col min="6" max="6" width="54" hidden="0" customWidth="1"/>
    <x:col min="7" max="7" width="18" hidden="0" customWidth="1"/>
    <x:col min="8" max="8" width="16" hidden="0" customWidth="1"/>
    <x:col min="9" max="9" width="30" hidden="0" customWidth="1"/>
  </x:cols>
  <x:sheetData>
    <x:row r="1">
      <x:c r="A1" s="16" t="str">
        <x:v>ID</x:v>
      </x:c>
      <x:c r="B1" s="16" t="str">
        <x:v>Area</x:v>
      </x:c>
      <x:c r="C1" s="16" t="str">
        <x:v>Risk</x:v>
      </x:c>
      <x:c r="D1" s="16" t="str">
        <x:v>Likelihood</x:v>
      </x:c>
      <x:c r="E1" s="16" t="str">
        <x:v>Impact</x:v>
      </x:c>
      <x:c r="F1" s="16" t="str">
        <x:v>Mitigation / Control</x:v>
      </x:c>
      <x:c r="G1" s="16" t="str">
        <x:v>Owner</x:v>
      </x:c>
      <x:c r="H1" s="16" t="str">
        <x:v>Status</x:v>
      </x:c>
      <x:c r="I1" s="16" t="str">
        <x:v>Evidence Needed</x:v>
      </x:c>
    </x:row>
    <x:row r="2">
      <x:c r="A2" s="12" t="str">
        <x:v>R-001</x:v>
      </x:c>
      <x:c r="B2" s="12" t="str">
        <x:v>Clinical Safety</x:v>
      </x:c>
      <x:c r="C2" s="12" t="str">
        <x:v>AI output treated as autonomous clinical judgment</x:v>
      </x:c>
      <x:c r="D2" s="12" t="str">
        <x:v>Medium</x:v>
      </x:c>
      <x:c r="E2" s="12" t="str">
        <x:v>High</x:v>
      </x:c>
      <x:c r="F2" s="12" t="str">
        <x:v>Human-in-loop; clear role boundaries; evaluation; escalation; audit</x:v>
      </x:c>
      <x:c r="G2" s="12" t="str">
        <x:v>Founder</x:v>
      </x:c>
      <x:c r="H2" s="12" t="str">
        <x:v>Open</x:v>
      </x:c>
      <x:c r="I2" s="12" t="str">
        <x:v>Clinical safety case</x:v>
      </x:c>
    </x:row>
    <x:row r="3">
      <x:c r="A3" s="12" t="str">
        <x:v>R-002</x:v>
      </x:c>
      <x:c r="B3" s="12" t="str">
        <x:v>Privacy</x:v>
      </x:c>
      <x:c r="C3" s="12" t="str">
        <x:v>PHI exposure across AI/integration services</x:v>
      </x:c>
      <x:c r="D3" s="12" t="str">
        <x:v>Medium</x:v>
      </x:c>
      <x:c r="E3" s="12" t="str">
        <x:v>High</x:v>
      </x:c>
      <x:c r="F3" s="12" t="str">
        <x:v>Minimization; encryption; access controls; vendor review</x:v>
      </x:c>
      <x:c r="G3" s="12" t="str">
        <x:v>Founder</x:v>
      </x:c>
      <x:c r="H3" s="12" t="str">
        <x:v>Open</x:v>
      </x:c>
      <x:c r="I3" s="12" t="str">
        <x:v>Privacy architecture</x:v>
      </x:c>
    </x:row>
    <x:row r="4">
      <x:c r="A4" s="12" t="str">
        <x:v>R-003</x:v>
      </x:c>
      <x:c r="B4" s="12" t="str">
        <x:v>Cybersecurity</x:v>
      </x:c>
      <x:c r="C4" s="12" t="str">
        <x:v>Compromised device or edge node</x:v>
      </x:c>
      <x:c r="D4" s="12" t="str">
        <x:v>Medium</x:v>
      </x:c>
      <x:c r="E4" s="12" t="str">
        <x:v>High</x:v>
      </x:c>
      <x:c r="F4" s="12" t="str">
        <x:v>Device identity; certificates; segmentation; signed updates; monitoring</x:v>
      </x:c>
      <x:c r="G4" s="12" t="str">
        <x:v>Founder</x:v>
      </x:c>
      <x:c r="H4" s="12" t="str">
        <x:v>Open</x:v>
      </x:c>
      <x:c r="I4" s="12" t="str">
        <x:v>Threat model</x:v>
      </x:c>
    </x:row>
    <x:row r="5">
      <x:c r="A5" s="12" t="str">
        <x:v>R-004</x:v>
      </x:c>
      <x:c r="B5" s="12" t="str">
        <x:v>Interoperability</x:v>
      </x:c>
      <x:c r="C5" s="12" t="str">
        <x:v>Vendor-specific lock-in</x:v>
      </x:c>
      <x:c r="D5" s="12" t="str">
        <x:v>Medium</x:v>
      </x:c>
      <x:c r="E5" s="12" t="str">
        <x:v>Medium</x:v>
      </x:c>
      <x:c r="F5" s="12" t="str">
        <x:v>Canonical models; adapter layer; standards-first APIs</x:v>
      </x:c>
      <x:c r="G5" s="12" t="str">
        <x:v>Founder</x:v>
      </x:c>
      <x:c r="H5" s="12" t="str">
        <x:v>Open</x:v>
      </x:c>
      <x:c r="I5" s="12" t="str">
        <x:v>Integration tests</x:v>
      </x:c>
    </x:row>
    <x:row r="6">
      <x:c r="A6" s="12" t="str">
        <x:v>R-005</x:v>
      </x:c>
      <x:c r="B6" s="12" t="str">
        <x:v>Offline Sync</x:v>
      </x:c>
      <x:c r="C6" s="12" t="str">
        <x:v>Conflicting records after disconnected operations</x:v>
      </x:c>
      <x:c r="D6" s="12" t="str">
        <x:v>Medium</x:v>
      </x:c>
      <x:c r="E6" s="12" t="str">
        <x:v>High</x:v>
      </x:c>
      <x:c r="F6" s="12" t="str">
        <x:v>Conflict policy; provenance; event log; reconciliation</x:v>
      </x:c>
      <x:c r="G6" s="12" t="str">
        <x:v>Founder</x:v>
      </x:c>
      <x:c r="H6" s="12" t="str">
        <x:v>Open</x:v>
      </x:c>
      <x:c r="I6" s="12" t="str">
        <x:v>Offline test plan</x:v>
      </x:c>
    </x:row>
    <x:row r="7">
      <x:c r="A7" s="12" t="str">
        <x:v>R-006</x:v>
      </x:c>
      <x:c r="B7" s="12" t="str">
        <x:v>Autonomous Systems</x:v>
      </x:c>
      <x:c r="C7" s="12" t="str">
        <x:v>Integration interpreted as autonomous weapon capability</x:v>
      </x:c>
      <x:c r="D7" s="12" t="str">
        <x:v>Low</x:v>
      </x:c>
      <x:c r="E7" s="12" t="str">
        <x:v>High</x:v>
      </x:c>
      <x:c r="F7" s="12" t="str">
        <x:v>Medical/logistics/humanitarian boundary; no targeting or engagement</x:v>
      </x:c>
      <x:c r="G7" s="12" t="str">
        <x:v>Founder</x:v>
      </x:c>
      <x:c r="H7" s="12" t="str">
        <x:v>Controlled</x:v>
      </x:c>
      <x:c r="I7" s="12" t="str">
        <x:v>Safety policy</x:v>
      </x:c>
    </x:row>
    <x:row r="8">
      <x:c r="A8" s="12" t="str">
        <x:v>R-007</x:v>
      </x:c>
      <x:c r="B8" s="12" t="str">
        <x:v>AI Quality</x:v>
      </x:c>
      <x:c r="C8" s="12" t="str">
        <x:v>Optimization degrades model quality</x:v>
      </x:c>
      <x:c r="D8" s="12" t="str">
        <x:v>Medium</x:v>
      </x:c>
      <x:c r="E8" s="12" t="str">
        <x:v>Medium</x:v>
      </x:c>
      <x:c r="F8" s="12" t="str">
        <x:v>Benchmark gates; rollback; task-specific thresholds</x:v>
      </x:c>
      <x:c r="G8" s="12" t="str">
        <x:v>Founder</x:v>
      </x:c>
      <x:c r="H8" s="12" t="str">
        <x:v>Open</x:v>
      </x:c>
      <x:c r="I8" s="12" t="str">
        <x:v>Benchmark reports</x:v>
      </x:c>
    </x:row>
    <x:row r="9">
      <x:c r="A9" s="12" t="str">
        <x:v>R-008</x:v>
      </x:c>
      <x:c r="B9" s="12" t="str">
        <x:v>Claims</x:v>
      </x:c>
      <x:c r="C9" s="12" t="str">
        <x:v>Marketing/resume overstates endorsement/certification</x:v>
      </x:c>
      <x:c r="D9" s="12" t="str">
        <x:v>Medium</x:v>
      </x:c>
      <x:c r="E9" s="12" t="str">
        <x:v>High</x:v>
      </x:c>
      <x:c r="F9" s="12" t="str">
        <x:v>Claim-safe language; evidence register; no unsupported approved/certified claims</x:v>
      </x:c>
      <x:c r="G9" s="12" t="str">
        <x:v>Founder</x:v>
      </x:c>
      <x:c r="H9" s="12" t="str">
        <x:v>Controlled</x:v>
      </x:c>
      <x:c r="I9" s="12" t="str">
        <x:v>Evidence register</x:v>
      </x:c>
    </x:row>
  </x:sheetData>
  <x:pageMargins left="0.7" right="0.7" top="0.75" bottom="0.75" header="0.3" footer="0.3"/>
  <x:tableParts count="1">
    <x:tablePart xmlns:r="http://schemas.openxmlformats.org/officeDocument/2006/relationships" r:id="Ree55c15881e14c7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34" hidden="0" customWidth="1"/>
    <x:col min="4" max="4" width="48" hidden="0" customWidth="1"/>
    <x:col min="5" max="5" width="16" hidden="0" customWidth="1"/>
    <x:col min="6" max="6" width="28" hidden="0" customWidth="1"/>
    <x:col min="7" max="7" width="42" hidden="0" customWidth="1"/>
    <x:col min="8" max="8" width="46" hidden="0" customWidth="1"/>
  </x:cols>
  <x:sheetData>
    <x:row r="1">
      <x:c r="A1" s="16" t="str">
        <x:v>Opportunity</x:v>
      </x:c>
      <x:c r="B1" s="16" t="str">
        <x:v>Type</x:v>
      </x:c>
      <x:c r="C1" s="16" t="str">
        <x:v>Strategic Fit</x:v>
      </x:c>
      <x:c r="D1" s="16" t="str">
        <x:v>CareDroid Angle</x:v>
      </x:c>
      <x:c r="E1" s="16" t="str">
        <x:v>Stage</x:v>
      </x:c>
      <x:c r="F1" s="16" t="str">
        <x:v>Timing</x:v>
      </x:c>
      <x:c r="G1" s="16" t="str">
        <x:v>Next Step</x:v>
      </x:c>
      <x:c r="H1" s="16" t="str">
        <x:v>Evidence / URL</x:v>
      </x:c>
    </x:row>
    <x:row r="2">
      <x:c r="A2" s="12" t="str">
        <x:v>Lightning Round IX Pitch Competition</x:v>
      </x:c>
      <x:c r="B2" s="12" t="str">
        <x:v>Pitch / accelerator</x:v>
      </x:c>
      <x:c r="C2" s="12" t="str">
        <x:v>AI/frontier tech; technical edge</x:v>
      </x:c>
      <x:c r="D2" s="12" t="str">
        <x:v>Medical Intelligence Platform; product evolution; academic collaboration</x:v>
      </x:c>
      <x:c r="E2" s="12" t="str">
        <x:v>Application</x:v>
      </x:c>
      <x:c r="F2" s="12" t="str">
        <x:v>Last Call 2026-09-25; Final 2026-10-08</x:v>
      </x:c>
      <x:c r="G2" s="12" t="str">
        <x:v>Finalize application and pitch</x:v>
      </x:c>
      <x:c r="H2" s="12" t="str">
        <x:v>https://www.sparkxyz.io/applications/1880</x:v>
      </x:c>
    </x:row>
    <x:row r="3">
      <x:c r="A3" s="12" t="str">
        <x:v>Hospital / health-system pilot</x:v>
      </x:c>
      <x:c r="B3" s="12" t="str">
        <x:v>Pilot</x:v>
      </x:c>
      <x:c r="C3" s="12" t="str">
        <x:v>Healthcare core</x:v>
      </x:c>
      <x:c r="D3" s="12" t="str">
        <x:v>ED operations, workflow automation, navigation, intelligence</x:v>
      </x:c>
      <x:c r="E3" s="12" t="str">
        <x:v>Target</x:v>
      </x:c>
      <x:c r="F3" s="12" t="str">
        <x:v>TBD</x:v>
      </x:c>
      <x:c r="G3" s="12" t="str">
        <x:v>Create pilot package + KPIs + readiness checklist</x:v>
      </x:c>
      <x:c r="H3" s="12" t="str">
        <x:v>Internal</x:v>
      </x:c>
    </x:row>
    <x:row r="4">
      <x:c r="A4" s="12" t="str">
        <x:v>Academic architecture validation</x:v>
      </x:c>
      <x:c r="B4" s="12" t="str">
        <x:v>Research</x:v>
      </x:c>
      <x:c r="C4" s="12" t="str">
        <x:v>Technical credibility</x:v>
      </x:c>
      <x:c r="D4" s="12" t="str">
        <x:v>Architecture, scalability, safety, edge/IoT roadmap</x:v>
      </x:c>
      <x:c r="E4" s="12" t="str">
        <x:v>Ongoing</x:v>
      </x:c>
      <x:c r="F4" s="12" t="str">
        <x:v>2026-2027</x:v>
      </x:c>
      <x:c r="G4" s="12" t="str">
        <x:v>Convert outputs to requirements/evidence</x:v>
      </x:c>
      <x:c r="H4" s="12" t="str">
        <x:v>Internal Riipen / ASU records</x:v>
      </x:c>
    </x:row>
    <x:row r="5">
      <x:c r="A5" s="12" t="str">
        <x:v>Autonomous medical systems partnerships</x:v>
      </x:c>
      <x:c r="B5" s="12" t="str">
        <x:v>Partnership</x:v>
      </x:c>
      <x:c r="C5" s="12" t="str">
        <x:v>IoT/robotics/edge</x:v>
      </x:c>
      <x:c r="D5" s="12" t="str">
        <x:v>Medical logistics, SAR support and emergency-response integrations</x:v>
      </x:c>
      <x:c r="E5" s="12" t="str">
        <x:v>Discovery</x:v>
      </x:c>
      <x:c r="F5" s="12" t="str">
        <x:v>TBD</x:v>
      </x:c>
      <x:c r="G5" s="12" t="str">
        <x:v>Identify Canadian hardware/integration partners</x:v>
      </x:c>
      <x:c r="H5" s="12" t="str">
        <x:v>Government/industry sources</x:v>
      </x:c>
    </x:row>
  </x:sheetData>
  <x:pageMargins left="0.7" right="0.7" top="0.75" bottom="0.75" header="0.3" footer="0.3"/>
  <x:tableParts count="1">
    <x:tablePart xmlns:r="http://schemas.openxmlformats.org/officeDocument/2006/relationships" r:id="Rda51ea991ea644b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2" hidden="0" customWidth="1"/>
    <x:col min="4" max="4" width="28" hidden="0" customWidth="1"/>
    <x:col min="5" max="5" width="28" hidden="0" customWidth="1"/>
  </x:cols>
  <x:sheetData>
    <x:row r="1">
      <x:c r="A1" s="20" t="str">
        <x:v>CareDroid Product Planning Dashboard</x:v>
      </x:c>
      <x:c r="B1" s="20"/>
      <x:c r="C1" s="20"/>
      <x:c r="D1" s="20"/>
      <x:c r="E1" s="20"/>
      <x:c r="F1" s="20"/>
      <x:c r="G1" s="20"/>
      <x:c r="H1" s="20"/>
      <x:c r="I1" s="12"/>
      <x:c r="J1" s="12"/>
      <x:c r="K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6" t="str">
        <x:v>KPI</x:v>
      </x:c>
      <x:c r="B3" s="16" t="str">
        <x:v>Value</x:v>
      </x:c>
      <x:c r="C3" s="12"/>
      <x:c r="D3" s="16" t="str">
        <x:v>Domain</x:v>
      </x:c>
      <x:c r="E3" s="16" t="str">
        <x:v>Count</x:v>
      </x:c>
      <x:c r="F3" s="12"/>
      <x:c r="G3" s="12"/>
      <x:c r="H3" s="12"/>
      <x:c r="I3" s="12"/>
      <x:c r="J3" s="12"/>
      <x:c r="K3" s="12"/>
    </x:row>
    <x:row r="4">
      <x:c r="A4" s="12" t="str">
        <x:v>Total Features</x:v>
      </x:c>
      <x:c r="B4" s="12" t="n">
        <x:f>COUNTA('Master Feature Matrix'!A2:A200)</x:f>
        <x:v>25</x:v>
      </x:c>
      <x:c r="C4" s="12"/>
      <x:c r="D4" s="12" t="str">
        <x:v>Clinical Operations</x:v>
      </x:c>
      <x:c r="E4" s="12" t="n">
        <x:f>COUNTIF('Master Feature Matrix'!B2:B200,D4)</x:f>
        <x:v>1</x:v>
      </x:c>
      <x:c r="F4" s="12"/>
      <x:c r="G4" s="12"/>
      <x:c r="H4" s="12"/>
      <x:c r="I4" s="12"/>
      <x:c r="J4" s="12"/>
      <x:c r="K4" s="12"/>
    </x:row>
    <x:row r="5">
      <x:c r="A5" s="12" t="str">
        <x:v>P0 Features</x:v>
      </x:c>
      <x:c r="B5" s="12" t="n">
        <x:f>COUNTIF('Master Feature Matrix'!H2:H200,"P0")</x:f>
        <x:v>12</x:v>
      </x:c>
      <x:c r="C5" s="12"/>
      <x:c r="D5" s="12" t="str">
        <x:v>AI Platform</x:v>
      </x:c>
      <x:c r="E5" s="12" t="n">
        <x:f>COUNTIF('Master Feature Matrix'!B2:B200,D5)</x:f>
        <x:v>2</x:v>
      </x:c>
      <x:c r="F5" s="12"/>
      <x:c r="G5" s="12"/>
      <x:c r="H5" s="12"/>
      <x:c r="I5" s="12"/>
      <x:c r="J5" s="12"/>
      <x:c r="K5" s="12"/>
    </x:row>
    <x:row r="6">
      <x:c r="A6" s="12" t="str">
        <x:v>In Progress</x:v>
      </x:c>
      <x:c r="B6" s="12" t="n">
        <x:f>COUNTIF('Master Feature Matrix'!J2:J200,"In Progress")</x:f>
        <x:v>10</x:v>
      </x:c>
      <x:c r="C6" s="12"/>
      <x:c r="D6" s="12" t="str">
        <x:v>Knowledge Intelligence</x:v>
      </x:c>
      <x:c r="E6" s="12" t="n">
        <x:f>COUNTIF('Master Feature Matrix'!B2:B200,D6)</x:f>
        <x:v>2</x:v>
      </x:c>
      <x:c r="F6" s="12"/>
      <x:c r="G6" s="12"/>
      <x:c r="H6" s="12"/>
      <x:c r="I6" s="12"/>
      <x:c r="J6" s="12"/>
      <x:c r="K6" s="12"/>
    </x:row>
    <x:row r="7">
      <x:c r="A7" s="12" t="str">
        <x:v>Planned</x:v>
      </x:c>
      <x:c r="B7" s="12" t="n">
        <x:f>COUNTIF('Master Feature Matrix'!J2:J200,"Planned")</x:f>
        <x:v>14</x:v>
      </x:c>
      <x:c r="C7" s="12"/>
      <x:c r="D7" s="12" t="str">
        <x:v>IoT</x:v>
      </x:c>
      <x:c r="E7" s="12" t="n">
        <x:f>COUNTIF('Master Feature Matrix'!B2:B200,D7)</x:f>
        <x:v>2</x:v>
      </x:c>
      <x:c r="F7" s="12"/>
      <x:c r="G7" s="12"/>
      <x:c r="H7" s="12"/>
      <x:c r="I7" s="12"/>
      <x:c r="J7" s="12"/>
      <x:c r="K7" s="12"/>
    </x:row>
    <x:row r="8">
      <x:c r="A8" s="12" t="str">
        <x:v>Done</x:v>
      </x:c>
      <x:c r="B8" s="12" t="n">
        <x:f>COUNTIF('Master Feature Matrix'!J2:J200,"Done")</x:f>
        <x:v>0</x:v>
      </x:c>
      <x:c r="C8" s="12"/>
      <x:c r="D8" s="12" t="str">
        <x:v>Edge AI</x:v>
      </x:c>
      <x:c r="E8" s="12" t="n">
        <x:f>COUNTIF('Master Feature Matrix'!B2:B200,D8)</x:f>
        <x:v>2</x:v>
      </x:c>
      <x:c r="F8" s="12"/>
      <x:c r="G8" s="12"/>
      <x:c r="H8" s="12"/>
      <x:c r="I8" s="12"/>
      <x:c r="J8" s="12"/>
      <x:c r="K8" s="12"/>
    </x:row>
    <x:row r="9">
      <x:c r="A9" s="12"/>
      <x:c r="B9" s="12"/>
      <x:c r="C9" s="12"/>
      <x:c r="D9" s="12" t="str">
        <x:v>Robotics</x:v>
      </x:c>
      <x:c r="E9" s="12" t="n">
        <x:f>COUNTIF('Master Feature Matrix'!B2:B200,D9)</x:f>
        <x:v>1</x:v>
      </x:c>
      <x:c r="F9" s="12"/>
      <x:c r="G9" s="12"/>
      <x:c r="H9" s="12"/>
      <x:c r="I9" s="12"/>
      <x:c r="J9" s="12"/>
      <x:c r="K9" s="12"/>
    </x:row>
    <x:row r="10">
      <x:c r="A10" s="16" t="str">
        <x:v>Executive Focus</x:v>
      </x:c>
      <x:c r="B10" s="16" t="str"/>
      <x:c r="C10" s="12"/>
      <x:c r="D10" s="12" t="str">
        <x:v>Mission Intelligence</x:v>
      </x:c>
      <x:c r="E10" s="12" t="n">
        <x:f>COUNTIF('Master Feature Matrix'!B2:B200,D10)</x:f>
        <x:v>1</x:v>
      </x:c>
      <x:c r="F10" s="12"/>
      <x:c r="G10" s="12"/>
      <x:c r="H10" s="12"/>
      <x:c r="I10" s="12"/>
      <x:c r="J10" s="12"/>
      <x:c r="K10" s="12"/>
    </x:row>
    <x:row r="11">
      <x:c r="A11" s="12" t="str">
        <x:v>1</x:v>
      </x:c>
      <x:c r="B11" s="12" t="str">
        <x:v>Stabilize healthcare core and governance.</x:v>
      </x:c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>
      <x:c r="A12" s="12" t="str">
        <x:v>2</x:v>
      </x:c>
      <x:c r="B12" s="12" t="str">
        <x:v>Package CareDroid for pilots and commercialization.</x:v>
      </x:c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>
      <x:c r="A13" s="12" t="str">
        <x:v>3</x:v>
      </x:c>
      <x:c r="B13" s="12" t="str">
        <x:v>Validate knowledge, agents and interoperability.</x:v>
      </x:c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>
      <x:c r="A14" s="12" t="str">
        <x:v>4</x:v>
      </x:c>
      <x:c r="B14" s="12" t="str">
        <x:v>Build IoT/edge foundation before hardware-specific integrations.</x:v>
      </x:c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>
      <x:c r="A15" s="12" t="str">
        <x:v>5</x:v>
      </x:c>
      <x:c r="B15" s="12" t="str">
        <x:v>Add robotics/UAV medical integrations through partners and simulation-first testing.</x:v>
      </x:c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be2195611874f7e"/>
</x:worksheet>
</file>